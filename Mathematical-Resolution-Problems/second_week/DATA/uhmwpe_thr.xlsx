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8"/>
  <workbookPr filterPrivacy="1" defaultThemeVersion="124226"/>
  <xr:revisionPtr revIDLastSave="0" documentId="13_ncr:1_{60D2B4E6-93D2-4A4D-AC82-EDF62A948ECF}" xr6:coauthVersionLast="36" xr6:coauthVersionMax="36" xr10:uidLastSave="{00000000-0000-0000-0000-000000000000}"/>
  <bookViews>
    <workbookView xWindow="240" yWindow="110" windowWidth="14810" windowHeight="8010" xr2:uid="{00000000-000D-0000-FFFF-FFFF00000000}"/>
  </bookViews>
  <sheets>
    <sheet name="DataBEFOREaging" sheetId="4" r:id="rId1"/>
    <sheet name="GraphsForPublication" sheetId="5" r:id="rId2"/>
    <sheet name="TableForPublication" sheetId="6" r:id="rId3"/>
    <sheet name="PlanOfExperiments" sheetId="1" r:id="rId4"/>
  </sheets>
  <calcPr calcId="191029" concurrentCalc="0"/>
</workbook>
</file>

<file path=xl/calcChain.xml><?xml version="1.0" encoding="utf-8"?>
<calcChain xmlns="http://schemas.openxmlformats.org/spreadsheetml/2006/main">
  <c r="C9" i="6" l="1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8" i="6"/>
  <c r="A26" i="6"/>
  <c r="A27" i="6"/>
  <c r="A2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8" i="6"/>
  <c r="C5" i="5"/>
  <c r="H6" i="5"/>
  <c r="I6" i="5"/>
  <c r="H7" i="5"/>
  <c r="I7" i="5"/>
  <c r="H8" i="5"/>
  <c r="I8" i="5"/>
  <c r="H9" i="5"/>
  <c r="I9" i="5"/>
  <c r="H10" i="5"/>
  <c r="I10" i="5"/>
  <c r="H11" i="5"/>
  <c r="I11" i="5"/>
  <c r="H12" i="5"/>
  <c r="I12" i="5"/>
  <c r="H13" i="5"/>
  <c r="I13" i="5"/>
  <c r="H14" i="5"/>
  <c r="I14" i="5"/>
  <c r="H15" i="5"/>
  <c r="I15" i="5"/>
  <c r="H16" i="5"/>
  <c r="I16" i="5"/>
  <c r="H17" i="5"/>
  <c r="I17" i="5"/>
  <c r="H18" i="5"/>
  <c r="I18" i="5"/>
  <c r="H19" i="5"/>
  <c r="I19" i="5"/>
  <c r="H20" i="5"/>
  <c r="I20" i="5"/>
  <c r="H21" i="5"/>
  <c r="I21" i="5"/>
  <c r="H22" i="5"/>
  <c r="I22" i="5"/>
  <c r="H23" i="5"/>
  <c r="I23" i="5"/>
  <c r="H24" i="5"/>
  <c r="I24" i="5"/>
  <c r="H25" i="5"/>
  <c r="I25" i="5"/>
  <c r="H26" i="5"/>
  <c r="I26" i="5"/>
  <c r="I5" i="5"/>
  <c r="H5" i="5"/>
  <c r="X53" i="5"/>
  <c r="X49" i="5"/>
  <c r="X50" i="5"/>
  <c r="X51" i="5"/>
  <c r="X52" i="5"/>
  <c r="X48" i="5"/>
  <c r="AG19" i="4"/>
  <c r="J6" i="5"/>
  <c r="AG20" i="4"/>
  <c r="J7" i="5"/>
  <c r="AG21" i="4"/>
  <c r="J8" i="5"/>
  <c r="AG22" i="4"/>
  <c r="J9" i="5"/>
  <c r="AG23" i="4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5" i="5"/>
  <c r="B6" i="5"/>
  <c r="C6" i="5"/>
  <c r="D6" i="5"/>
  <c r="E6" i="5"/>
  <c r="F6" i="5"/>
  <c r="G6" i="5"/>
  <c r="B7" i="5"/>
  <c r="C7" i="5"/>
  <c r="D7" i="5"/>
  <c r="E7" i="5"/>
  <c r="F7" i="5"/>
  <c r="G7" i="5"/>
  <c r="S21" i="4"/>
  <c r="B8" i="5"/>
  <c r="T21" i="4"/>
  <c r="C8" i="5"/>
  <c r="U21" i="4"/>
  <c r="D8" i="5"/>
  <c r="V21" i="4"/>
  <c r="E8" i="5"/>
  <c r="W21" i="4"/>
  <c r="F8" i="5"/>
  <c r="X21" i="4"/>
  <c r="G8" i="5"/>
  <c r="B9" i="5"/>
  <c r="C9" i="5"/>
  <c r="D9" i="5"/>
  <c r="E9" i="5"/>
  <c r="F9" i="5"/>
  <c r="G9" i="5"/>
  <c r="B10" i="5"/>
  <c r="C10" i="5"/>
  <c r="D10" i="5"/>
  <c r="E10" i="5"/>
  <c r="F10" i="5"/>
  <c r="G10" i="5"/>
  <c r="B11" i="5"/>
  <c r="C11" i="5"/>
  <c r="D11" i="5"/>
  <c r="E11" i="5"/>
  <c r="F11" i="5"/>
  <c r="G11" i="5"/>
  <c r="B12" i="5"/>
  <c r="C12" i="5"/>
  <c r="D12" i="5"/>
  <c r="E12" i="5"/>
  <c r="F12" i="5"/>
  <c r="G12" i="5"/>
  <c r="B13" i="5"/>
  <c r="C13" i="5"/>
  <c r="D13" i="5"/>
  <c r="E13" i="5"/>
  <c r="F13" i="5"/>
  <c r="G13" i="5"/>
  <c r="B14" i="5"/>
  <c r="C14" i="5"/>
  <c r="D14" i="5"/>
  <c r="E14" i="5"/>
  <c r="F14" i="5"/>
  <c r="G14" i="5"/>
  <c r="B15" i="5"/>
  <c r="C15" i="5"/>
  <c r="D15" i="5"/>
  <c r="E15" i="5"/>
  <c r="F15" i="5"/>
  <c r="G15" i="5"/>
  <c r="B16" i="5"/>
  <c r="C16" i="5"/>
  <c r="D16" i="5"/>
  <c r="E16" i="5"/>
  <c r="F16" i="5"/>
  <c r="G16" i="5"/>
  <c r="B17" i="5"/>
  <c r="C17" i="5"/>
  <c r="D17" i="5"/>
  <c r="E17" i="5"/>
  <c r="F17" i="5"/>
  <c r="G17" i="5"/>
  <c r="B18" i="5"/>
  <c r="C18" i="5"/>
  <c r="D18" i="5"/>
  <c r="E18" i="5"/>
  <c r="F18" i="5"/>
  <c r="G18" i="5"/>
  <c r="B19" i="5"/>
  <c r="C19" i="5"/>
  <c r="D19" i="5"/>
  <c r="E19" i="5"/>
  <c r="F19" i="5"/>
  <c r="G19" i="5"/>
  <c r="B20" i="5"/>
  <c r="C20" i="5"/>
  <c r="D20" i="5"/>
  <c r="E20" i="5"/>
  <c r="F20" i="5"/>
  <c r="G20" i="5"/>
  <c r="B21" i="5"/>
  <c r="C21" i="5"/>
  <c r="D21" i="5"/>
  <c r="E21" i="5"/>
  <c r="F21" i="5"/>
  <c r="G21" i="5"/>
  <c r="B22" i="5"/>
  <c r="C22" i="5"/>
  <c r="D22" i="5"/>
  <c r="E22" i="5"/>
  <c r="F22" i="5"/>
  <c r="G22" i="5"/>
  <c r="B23" i="5"/>
  <c r="C23" i="5"/>
  <c r="D23" i="5"/>
  <c r="E23" i="5"/>
  <c r="F23" i="5"/>
  <c r="G23" i="5"/>
  <c r="B24" i="5"/>
  <c r="C24" i="5"/>
  <c r="D24" i="5"/>
  <c r="E24" i="5"/>
  <c r="F24" i="5"/>
  <c r="G24" i="5"/>
  <c r="B25" i="5"/>
  <c r="C25" i="5"/>
  <c r="D25" i="5"/>
  <c r="E25" i="5"/>
  <c r="F25" i="5"/>
  <c r="G25" i="5"/>
  <c r="B26" i="5"/>
  <c r="C26" i="5"/>
  <c r="D26" i="5"/>
  <c r="E26" i="5"/>
  <c r="F26" i="5"/>
  <c r="G26" i="5"/>
  <c r="D5" i="5"/>
  <c r="E5" i="5"/>
  <c r="F5" i="5"/>
  <c r="G5" i="5"/>
  <c r="B5" i="5"/>
  <c r="A25" i="5"/>
  <c r="A26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5" i="5"/>
  <c r="AH21" i="4"/>
  <c r="AI21" i="4"/>
  <c r="AE21" i="4"/>
  <c r="AF21" i="4"/>
  <c r="AD21" i="4"/>
  <c r="AC21" i="4"/>
  <c r="Z21" i="4"/>
  <c r="Y21" i="4"/>
  <c r="X9" i="4"/>
  <c r="X8" i="4"/>
  <c r="X7" i="4"/>
  <c r="W10" i="4"/>
  <c r="W11" i="4"/>
  <c r="W12" i="4"/>
  <c r="W13" i="4"/>
  <c r="W14" i="4"/>
  <c r="W9" i="4"/>
  <c r="W8" i="4"/>
  <c r="W7" i="4"/>
  <c r="V12" i="4"/>
  <c r="V11" i="4"/>
  <c r="V10" i="4"/>
  <c r="V8" i="4"/>
  <c r="V9" i="4"/>
  <c r="V7" i="4"/>
  <c r="W4" i="4"/>
  <c r="AF20" i="4"/>
  <c r="AF23" i="4"/>
  <c r="AF22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19" i="4"/>
  <c r="AJ20" i="4"/>
  <c r="AJ23" i="4"/>
  <c r="AJ21" i="4"/>
  <c r="AJ22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19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24" i="4"/>
</calcChain>
</file>

<file path=xl/sharedStrings.xml><?xml version="1.0" encoding="utf-8"?>
<sst xmlns="http://schemas.openxmlformats.org/spreadsheetml/2006/main" count="753" uniqueCount="380">
  <si>
    <t>PE</t>
  </si>
  <si>
    <t>PE+E</t>
  </si>
  <si>
    <t>PE/75kGy/RM</t>
  </si>
  <si>
    <t>PE/50kGy/RM+E</t>
  </si>
  <si>
    <t>PE/100kGy/RM+E</t>
  </si>
  <si>
    <t>K10</t>
  </si>
  <si>
    <t>K11</t>
  </si>
  <si>
    <t>K12</t>
  </si>
  <si>
    <t>K13</t>
  </si>
  <si>
    <t>K14</t>
  </si>
  <si>
    <t>K15</t>
  </si>
  <si>
    <t>Popis</t>
  </si>
  <si>
    <t>Vzorek</t>
  </si>
  <si>
    <t>Doplnit - firma01</t>
  </si>
  <si>
    <t>Doplnit - firma02</t>
  </si>
  <si>
    <t>Doplnit - firma03</t>
  </si>
  <si>
    <t>Doplnit - firma04</t>
  </si>
  <si>
    <t>Doplnit - firma05</t>
  </si>
  <si>
    <t>Doplnit - firma06</t>
  </si>
  <si>
    <t>Doplnit - firma07</t>
  </si>
  <si>
    <t>Doplnit - firma08</t>
  </si>
  <si>
    <t>Doplnit - firma09</t>
  </si>
  <si>
    <t>Doplnit - firma10</t>
  </si>
  <si>
    <t>Doplnit - firma11</t>
  </si>
  <si>
    <t>Doplnit - firma12</t>
  </si>
  <si>
    <t>Doplnit - firma13</t>
  </si>
  <si>
    <t>Doplnit - firma14</t>
  </si>
  <si>
    <t>Doplnit - firma15</t>
  </si>
  <si>
    <t>M84</t>
  </si>
  <si>
    <t>MC2E</t>
  </si>
  <si>
    <t>IR</t>
  </si>
  <si>
    <t>MH</t>
  </si>
  <si>
    <t>DSC</t>
  </si>
  <si>
    <t>TGA</t>
  </si>
  <si>
    <t>Solubility</t>
  </si>
  <si>
    <t>Vzorky</t>
  </si>
  <si>
    <t>Znacka</t>
  </si>
  <si>
    <t>Metody</t>
  </si>
  <si>
    <t>ANO</t>
  </si>
  <si>
    <t>M80</t>
  </si>
  <si>
    <t>Adresar</t>
  </si>
  <si>
    <t>M80E</t>
  </si>
  <si>
    <t>M:\MIREK.GRA\12PE\SERIE.X\MB\X1_SOUHRN\summary_m8-mb.xlsx</t>
  </si>
  <si>
    <t>M82E</t>
  </si>
  <si>
    <t>domerit</t>
  </si>
  <si>
    <t>Zdrojova data</t>
  </si>
  <si>
    <t>UHMWPE, Serie.O5, porovnani novych/nepouzitych PE-vlozek, 5 materialu z fy. Beznoska vs. 15 novych UHMWPE z komercnich vlozek pouzivanych v CR</t>
  </si>
  <si>
    <t>(plan experimentu, 2017-02-13_MS</t>
  </si>
  <si>
    <t>(POZOR: tato serie je formalne ortopedicka, fakticky materialova =&gt; na starosti ji ma primo MS, charakterizaci vzorku HV</t>
  </si>
  <si>
    <t>B01</t>
  </si>
  <si>
    <t>B02</t>
  </si>
  <si>
    <t>B03</t>
  </si>
  <si>
    <t>B04</t>
  </si>
  <si>
    <t>B05</t>
  </si>
  <si>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</si>
  <si>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</si>
  <si>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</si>
  <si>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</si>
  <si>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</si>
  <si>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</si>
  <si>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</si>
  <si>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</si>
  <si>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</si>
  <si>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K16</t>
  </si>
  <si>
    <t>Doplnit - firma16</t>
  </si>
  <si>
    <t>ANO *</t>
  </si>
  <si>
    <t>* red</t>
  </si>
  <si>
    <t>* violet</t>
  </si>
  <si>
    <t>M:\MIREK.GRA\08PE\SERIE.X\M8</t>
  </si>
  <si>
    <t>zmerit</t>
  </si>
  <si>
    <t>MA0 = M80</t>
  </si>
  <si>
    <t>MA0E = M80E</t>
  </si>
  <si>
    <t>MA2E = M82E</t>
  </si>
  <si>
    <t>zatim ne, viz ------&gt;</t>
  </si>
  <si>
    <t>O5/K01</t>
  </si>
  <si>
    <t>O5/K02</t>
  </si>
  <si>
    <t>O5/K03</t>
  </si>
  <si>
    <t>O5/K04</t>
  </si>
  <si>
    <t>O5/K05</t>
  </si>
  <si>
    <t>O5/K06</t>
  </si>
  <si>
    <t>O5/K07</t>
  </si>
  <si>
    <t>O5/K08</t>
  </si>
  <si>
    <t>O5/K09</t>
  </si>
  <si>
    <t>O5/K10</t>
  </si>
  <si>
    <t>O5/K11</t>
  </si>
  <si>
    <t>O5/K12</t>
  </si>
  <si>
    <t>O5/K13</t>
  </si>
  <si>
    <t>O5/K14</t>
  </si>
  <si>
    <t>O5/K15</t>
  </si>
  <si>
    <t>O5/K16</t>
  </si>
  <si>
    <t>Serie/vzorek</t>
  </si>
  <si>
    <t>mozna</t>
  </si>
  <si>
    <t>Poznamky ke vzorkum:</t>
  </si>
  <si>
    <t>0) Z kazdeho vzorku jen polovinu, 2hou schovat na AGING.</t>
  </si>
  <si>
    <t>2) MH: klasika (50gf/6s), postupne - H.Vlkova</t>
  </si>
  <si>
    <t>1) IR: standardnim zpusobem - H.Vlkova -&gt; M.Brunclikova</t>
  </si>
  <si>
    <t>3) DSC+TGA:</t>
  </si>
  <si>
    <t xml:space="preserve">  -&gt; DSC: heating (Tm,CR) + cooling(zpetna CR souvisi s XL)</t>
  </si>
  <si>
    <t xml:space="preserve">  -&gt; TGA: urcit pritomnost vit.E, analogicky jako u vzorku O5/B*</t>
  </si>
  <si>
    <t>4) Solubility, pripande MHI...</t>
  </si>
  <si>
    <t xml:space="preserve">  -&gt; zatim ne, vyhledove u vybranych vzorku...</t>
  </si>
  <si>
    <t>Poznamky k naplanovanym merenim:</t>
  </si>
  <si>
    <t>existuji mensi rozdily pro MH mezi seriemi M8, MA, MC =&gt; premereno VSE ZNOVU A NAJEDNOU MH(50gf/6s) -&gt; viz Z:\Z_UHMWPE.2\SERIE.O\O5.NEW\MH\VZORKY.B</t>
  </si>
  <si>
    <t>pro M84 sice mame jen starsi mereni IR (metoda P = pruchod 2mm destickou), z tohoto mereni lze indexy jen odhadnout =&gt; premerit novym zpusobem</t>
  </si>
  <si>
    <t>* fialova</t>
  </si>
  <si>
    <r>
      <rPr>
        <b/>
        <sz val="11"/>
        <color theme="1"/>
        <rFont val="Calibri"/>
        <family val="2"/>
        <charset val="238"/>
        <scheme val="minor"/>
      </rPr>
      <t>oprava z 2017-06-06</t>
    </r>
    <r>
      <rPr>
        <sz val="11"/>
        <color theme="1"/>
        <rFont val="Calibri"/>
        <family val="2"/>
        <scheme val="minor"/>
      </rPr>
      <t xml:space="preserve"> =&gt; tyto dva vzorky (1ni mereny postaru, 2hy omylem dodany bez vit.E) dodatecne premerit stejne jako vsechny ostatni</t>
    </r>
  </si>
  <si>
    <t>M:\MIREK.GRA\12PE\SERIE.X\MC.2</t>
  </si>
  <si>
    <t>(orig.vzorek omylem bez vitE</t>
  </si>
  <si>
    <t xml:space="preserve">PE jamka typ Müller (Aesculap) </t>
  </si>
  <si>
    <t>vložka PE Vitelene -do jamky Plasmafit (Aesculap)</t>
  </si>
  <si>
    <t xml:space="preserve">PE vložka Ringloc-X Arcom pro jamku Exceed ABT (Biomet Merck) </t>
  </si>
  <si>
    <t>PE vložka Ringloc-X E1 standard liner -poly pro jamku Exceed ABT (Biomet Merck)</t>
  </si>
  <si>
    <t>Vložka PE Implacross (implantcast gmbh)</t>
  </si>
  <si>
    <t xml:space="preserve">PE vložka jamky Delta (X-Lima) (Lima) </t>
  </si>
  <si>
    <t xml:space="preserve">PE vložka X-LINKed pro jamku CFP (Link) </t>
  </si>
  <si>
    <t>Jamka SeleXys - PE vložka (Mathys Bettlach)</t>
  </si>
  <si>
    <t xml:space="preserve">PE vložka pro jamku Medin sfera (Prospon) </t>
  </si>
  <si>
    <t>Vložka PE Bicon Plus (Smith&amp;Nephew Medical) XLPE</t>
  </si>
  <si>
    <t>Jamka CSF "Zweymüller Alloclassic" - PE vložka (Sulzer) Durasul</t>
  </si>
  <si>
    <t xml:space="preserve">Vložka Gamma Durasul pro jamu Allofit (Zimmer) </t>
  </si>
  <si>
    <t xml:space="preserve">Vložka HXPE Longevity pro jamky řady IT(Continuum,Trilogy,Allofit) (Zimmer) </t>
  </si>
  <si>
    <t>Vložka Alpha Durasul pro jamku Allofit (Zimmer)</t>
  </si>
  <si>
    <t>PE vložka pro jamku Procotyl (Wright) Rim-lock A-Class</t>
  </si>
  <si>
    <t>PE vložka Marathon pro jamku Pinnacle (Johnson&amp;Johnson ltd.)</t>
  </si>
  <si>
    <t>ID</t>
  </si>
  <si>
    <t>Series</t>
  </si>
  <si>
    <t>FullText</t>
  </si>
  <si>
    <t>Beznoska/PE</t>
  </si>
  <si>
    <t>Beznoska/PE+E</t>
  </si>
  <si>
    <t>Beznoska/100kGy+RM+E</t>
  </si>
  <si>
    <t>Beznoska/50kGy+RM+E</t>
  </si>
  <si>
    <t>Sample_description</t>
  </si>
  <si>
    <t>Experimental_results</t>
  </si>
  <si>
    <t>Source_data</t>
  </si>
  <si>
    <t>Sample</t>
  </si>
  <si>
    <t>Directory</t>
  </si>
  <si>
    <t>Beznoska, PE/75kGy+RM (sitovany pro kycle)</t>
  </si>
  <si>
    <t>Beznoska/75kGy+RM</t>
  </si>
  <si>
    <t>Company</t>
  </si>
  <si>
    <t>Supplier</t>
  </si>
  <si>
    <t>Beznoska</t>
  </si>
  <si>
    <t>Aesculap</t>
  </si>
  <si>
    <t>Bbraun Medical</t>
  </si>
  <si>
    <t>Biomet</t>
  </si>
  <si>
    <t>Zimmer Czech</t>
  </si>
  <si>
    <t>Implantcast</t>
  </si>
  <si>
    <t>Biosolution</t>
  </si>
  <si>
    <t>DePuySynthes</t>
  </si>
  <si>
    <t>Johnson&amp;Johnson</t>
  </si>
  <si>
    <t>Lima</t>
  </si>
  <si>
    <t>Lima CZ</t>
  </si>
  <si>
    <t>Link</t>
  </si>
  <si>
    <t>Germeditec</t>
  </si>
  <si>
    <t>Mathys</t>
  </si>
  <si>
    <t>Comesa</t>
  </si>
  <si>
    <t>Prospon</t>
  </si>
  <si>
    <t>Smith&amp;Nephew Medical</t>
  </si>
  <si>
    <t>Aura Medical</t>
  </si>
  <si>
    <t>Zimmer</t>
  </si>
  <si>
    <t>Microport (Wright)</t>
  </si>
  <si>
    <t>Mediservis</t>
  </si>
  <si>
    <t>ImplantRefCode</t>
  </si>
  <si>
    <t>ImplantSize</t>
  </si>
  <si>
    <t>NK960</t>
  </si>
  <si>
    <t>60/32</t>
  </si>
  <si>
    <t>NV216E</t>
  </si>
  <si>
    <t>J/36</t>
  </si>
  <si>
    <t>XL-043660</t>
  </si>
  <si>
    <t>60/36</t>
  </si>
  <si>
    <t>EP-043660</t>
  </si>
  <si>
    <t>52/36</t>
  </si>
  <si>
    <t>1219-36-060</t>
  </si>
  <si>
    <t>5885.51.260</t>
  </si>
  <si>
    <t>large/36</t>
  </si>
  <si>
    <t>110-620/56</t>
  </si>
  <si>
    <t>56/36</t>
  </si>
  <si>
    <t>55.43.2810</t>
  </si>
  <si>
    <t>JJ/28</t>
  </si>
  <si>
    <t>Z12410-5900-00032</t>
  </si>
  <si>
    <t>59/32</t>
  </si>
  <si>
    <t>vel.6/28</t>
  </si>
  <si>
    <t>01.00126.461</t>
  </si>
  <si>
    <t>61/28</t>
  </si>
  <si>
    <t>01.00047.914</t>
  </si>
  <si>
    <t>NN/28</t>
  </si>
  <si>
    <t>00-8751-014-36</t>
  </si>
  <si>
    <t>60(MM)/36</t>
  </si>
  <si>
    <t>01.00013.213</t>
  </si>
  <si>
    <t>MM/28</t>
  </si>
  <si>
    <t>PHA04614</t>
  </si>
  <si>
    <t>G/36</t>
  </si>
  <si>
    <t>raw_material</t>
  </si>
  <si>
    <t>Sterilization</t>
  </si>
  <si>
    <t>EtO</t>
  </si>
  <si>
    <t>GasPlasma</t>
  </si>
  <si>
    <t>Gamma</t>
  </si>
  <si>
    <t>no</t>
  </si>
  <si>
    <t>yes</t>
  </si>
  <si>
    <t>prehled vzorku</t>
  </si>
  <si>
    <t>D:\DATA.SH\004_AKTUALNI\O5.NEW\01b_vzorky_komercni_pf.xlsx</t>
  </si>
  <si>
    <t>D:\DATA.SH\004_AKTUALNI\O5.NEW\01_vzorky-experimenty.xlsx</t>
  </si>
  <si>
    <t>Poznamka: tato serie je formalne ortopedicka, fakticky materialova =&gt; na starosti ji ma primo MS, charakterizaci vzorku HV</t>
  </si>
  <si>
    <t>ZDROJOVA DATA PRO TABULKU:</t>
  </si>
  <si>
    <t>M:\MIREK\3PRACE\1PUBL\12PE\07PE-SERIE.O5\01A_PREDN.PF\2_zprac-vysl-pf.xlsx</t>
  </si>
  <si>
    <t xml:space="preserve">Vitelene-Plasmafit </t>
  </si>
  <si>
    <t>Marathon-Pinnacle</t>
  </si>
  <si>
    <t xml:space="preserve">X-Lima-Delta </t>
  </si>
  <si>
    <t xml:space="preserve">X-LINKed-CFP </t>
  </si>
  <si>
    <t>SeleXys-standard</t>
  </si>
  <si>
    <t>Durasul-CSF Alloclasic</t>
  </si>
  <si>
    <t>Longevity-Trilogy</t>
  </si>
  <si>
    <t>MyID</t>
  </si>
  <si>
    <t>popis implantatu</t>
  </si>
  <si>
    <t>IR vysledky (PF)</t>
  </si>
  <si>
    <t>MH vysledky</t>
  </si>
  <si>
    <t>Rim-lock_A-Class-Procotyl</t>
  </si>
  <si>
    <t xml:space="preserve">Müller_Aesculap </t>
  </si>
  <si>
    <t>Ringloc-X_Arcom-Exceed</t>
  </si>
  <si>
    <t>Ringloc-X_E1-Exceed</t>
  </si>
  <si>
    <t>Implacross_Implantcast</t>
  </si>
  <si>
    <t>Medin_Sfera</t>
  </si>
  <si>
    <t xml:space="preserve">XLPE-Bicon_Plus </t>
  </si>
  <si>
    <t>Gamma_Durasul-Allofit</t>
  </si>
  <si>
    <t>Alpha-Durasul-Allofit</t>
  </si>
  <si>
    <t>D:\DATA.SH\004_AKTUALNI\O5.NEW\MH\VZORKY.B\01*.xlsx</t>
  </si>
  <si>
    <t>D:\DATA.SH\004_AKTUALNI\O5.NEW\MH\VZORKY.K\01*.xlsx</t>
  </si>
  <si>
    <t>esd(Hv)</t>
  </si>
  <si>
    <t>OOT</t>
  </si>
  <si>
    <t>Sample_identification</t>
  </si>
  <si>
    <t>Data_directory</t>
  </si>
  <si>
    <t>NaN</t>
  </si>
  <si>
    <t>D:\DATA.SH\004_AKTUALNI\O5.NEW\TGA-DSC\VZORKY.K</t>
  </si>
  <si>
    <t>DSC+TGA vysledky</t>
  </si>
  <si>
    <t>D:\DATA.SH\004_AKTUALNI\O5.NEW\TGA-DSC\VZORKY.B</t>
  </si>
  <si>
    <t>* TGA/OOT hodnoty: prumery ze vsech zatim dostupnych dat; odkazy na vsechna pouzita data jsou ve zdrojovych adresarich</t>
  </si>
  <si>
    <t>POZNAMKY K UDAJUM V TABULCE:</t>
  </si>
  <si>
    <t>* Popis vzorku jeste vylepsit - zda se, ze spoustu informaci k vlozkam je v UHMWPE handbook - navedlo me na to hledani nekterych typu vlozek v Google =&gt; www-odkazy vedly na handbook</t>
  </si>
  <si>
    <t xml:space="preserve">   (poprosit PF, at to jeste jednou prekontroluje a doplni; take at zkontroluje ImplantType, jestli je konzistentni</t>
  </si>
  <si>
    <t xml:space="preserve">   (docela to lita - viz tez jine mereni z posledni doby - rozdily mezi podseriemi SB4/1 a SB42 - viz moje prednaska na UHMWPE2017</t>
  </si>
  <si>
    <t>esd(OI)</t>
  </si>
  <si>
    <t>esd(VI)</t>
  </si>
  <si>
    <t>esd(CI)</t>
  </si>
  <si>
    <t>esd(EI)</t>
  </si>
  <si>
    <t>M:\MIREK.GRA\08PE\SERIE.X\M8\IR\02c_pe-m8_ir_fin.xlsx</t>
  </si>
  <si>
    <t>IR (MS; M80,80E,82E)</t>
  </si>
  <si>
    <t>M84 = M41</t>
  </si>
  <si>
    <t>IR (MS; M84 = M41)</t>
  </si>
  <si>
    <t>M:\MIREK.GRA\04PE\SERIE.X\M4\IR\2M\2MINT.NEW\pe_m4_ir_fin.xlsx</t>
  </si>
  <si>
    <t>IR (MS; MC2E)</t>
  </si>
  <si>
    <t xml:space="preserve">  =&gt; serie.O5/K - zatim prevzato od P.Fulina (ze zpracovanych dat pro jeho prednasku - jeste overit/prepocitat programem MINT.NEW</t>
  </si>
  <si>
    <t xml:space="preserve">  =&gt; serie.O5/B - poslepovano ze starsich dat (v praci dohledat/overit/domerit vysledky pro MC2E</t>
  </si>
  <si>
    <t>* MH hodnoty:  existovaly mensi rozdily pro MH mezi seriemi M8, MA, MC =&gt; premereno VSE ZNOVU A NAJEDNOU MH(50gf/6s) -&gt; viz Z:\Z_UHMWPE.2\SERIE.O\O5.NEW\MH</t>
  </si>
  <si>
    <t>stredne fialova = na TGA/OOT OPRAVDU NEBYL pik, ale postupny narust hmotnosti a potom pozvolny pokles pri trochu vyssi teplote - zrejme nejake specialni zachazeni se vzorkem</t>
  </si>
  <si>
    <t>M:\MIREK.GRA\12PE\SERIE.X\MB\X1_SOUHRN\*.xlsx</t>
  </si>
  <si>
    <t>* IR ze vzorku M41</t>
  </si>
  <si>
    <t>svetle fialova = IR data pro vzorek M84 prevzaty ze predchoziho/totozneho vzorku jine serie = M41 (duvod: M84 a M84 byly v ramci serie M8 zcasti vynechany =&gt; IR tenkrat nepremerovano novym zpusobem)</t>
  </si>
  <si>
    <t>D:\DATA.SH\004_AKTUALNI\O5.NEW</t>
  </si>
  <si>
    <t>* IR hodnoty:</t>
  </si>
  <si>
    <t>dH[J/g]</t>
  </si>
  <si>
    <t>dH0(PE)</t>
  </si>
  <si>
    <t>[J/g]</t>
  </si>
  <si>
    <t>Xe[%]</t>
  </si>
  <si>
    <t>KONST. PRO PREPOCET KRYSTALINIT</t>
  </si>
  <si>
    <t>ImplantName</t>
  </si>
  <si>
    <t>VitaminE</t>
  </si>
  <si>
    <t>Crosslinking</t>
  </si>
  <si>
    <t>PE_type</t>
  </si>
  <si>
    <t>OI(EtO)</t>
  </si>
  <si>
    <t>OI(Gamma)</t>
  </si>
  <si>
    <t>Excel</t>
  </si>
  <si>
    <t>...vypocet primo zde, data zkopirovana nize</t>
  </si>
  <si>
    <t>Python</t>
  </si>
  <si>
    <t>M:\MIREK\3PRACE\1PUBL\12PE\07PE-SERIE.O5\01C_ZPRAC.MS\x1b_boxplot_ttests.py</t>
  </si>
  <si>
    <t>* DSC hodnoty: zatim zahrnuty jen hodnoty z 1st melting, ale zajimave by mohly byt i hodnoty z cooling a 2nd melting</t>
  </si>
  <si>
    <t xml:space="preserve">   (hodnoty z cooling a 2nd melting se prinejmensim u vzorku podserie O5.NEW/B zdaji korelovat se stupnem zesiteni - to ale koreluje i 1st melting - takze zatim nic</t>
  </si>
  <si>
    <t>Kontrola 2-sample t-test :: p-values :: Excel x Python/Stats =&gt; Ok, vyz hodnoty nize</t>
  </si>
  <si>
    <t>Dose_kGy</t>
  </si>
  <si>
    <t>VitE_proc</t>
  </si>
  <si>
    <t>TT_type</t>
  </si>
  <si>
    <t>Source</t>
  </si>
  <si>
    <t>AN</t>
  </si>
  <si>
    <t>RM+AN</t>
  </si>
  <si>
    <t>RM</t>
  </si>
  <si>
    <t>Dose_Note</t>
  </si>
  <si>
    <t>gamma</t>
  </si>
  <si>
    <t>IRR@highT</t>
  </si>
  <si>
    <t>NN</t>
  </si>
  <si>
    <t>MS</t>
  </si>
  <si>
    <t>TT_note</t>
  </si>
  <si>
    <t>Additional information (SK+MS)</t>
  </si>
  <si>
    <t>(dodatecne informace nalezene/doplnene SK+MS =&gt; ZELENY FONT</t>
  </si>
  <si>
    <t>internet</t>
  </si>
  <si>
    <t>SK: Handbook str.451 (odkaz na citaci o přípravě)</t>
  </si>
  <si>
    <t>SK: Handbook str.455</t>
  </si>
  <si>
    <t>SK: Handbook str. 458</t>
  </si>
  <si>
    <t>SK: Handbook str. 453 (Durasul; warm irradiation)</t>
  </si>
  <si>
    <t>SK: Handbook str. 453 (Durasul, ale nevíme Alpha x Gamma Durasul; warm irradiation)</t>
  </si>
  <si>
    <t>SK: Handbook str. 456</t>
  </si>
  <si>
    <t>ID_orig</t>
  </si>
  <si>
    <t>K17</t>
  </si>
  <si>
    <t>svetle fialova = referencni vzorky, nesitovany s/bez vitaminu E, sterilizovany EtO (tyto by mely ukazat, jak se chova nesitovany UHMWPE)</t>
  </si>
  <si>
    <t>stredne fialova = referencni vzorky, sitovane a s pridavkem vitaminu E (tyto by mely ukazat, jak se chovaji moderni/nastupujici UHMWPE)</t>
  </si>
  <si>
    <t>tmave fialova = puvodne referencni vzorek, na zadost P.Fulina zarazen mezi komercni = standardni sitovany PE fy Beznoska pro pouziti v kycelnich kloubnich nahradach</t>
  </si>
  <si>
    <t>svetle hneda = vlozka od ProsponuMEDINu (K11) byla skutecne v obalu s napisem NONSTERILE, tj. nebyla jeste sterilizovana =&gt; v tabulce tedy z hlediska sterilizace nepatri nikam a davame hodnotu NaN</t>
  </si>
  <si>
    <t>stredne hneda = vlozka od Aesculap/Bbraun Medical (K03; PE Vitelene) ma skutecne v PDF-manualu stazenem z www od S.Krejcikove uvedeno, ze NEPOTREBUJE thermal treatment a diky tomu ma vyvazene mechanicke vlastnosti =&gt;  do tabulky davame NN (zadna tepelna uprava)</t>
  </si>
  <si>
    <t>SK: materiál PEX, dle orig.stitku je NONSTERILE</t>
  </si>
  <si>
    <t>SK: zdroj-internet, dohledan primo PDF-letak dane vlozky, ma byt BEZ TEPELNE UPRAVY, ktera udajne s Vit.E neni treba</t>
  </si>
  <si>
    <t>M01</t>
  </si>
  <si>
    <t>M02</t>
  </si>
  <si>
    <t>M03</t>
  </si>
  <si>
    <t>M04</t>
  </si>
  <si>
    <t>Hv [MPa]</t>
  </si>
  <si>
    <t>IR/OI</t>
  </si>
  <si>
    <t>IR/VI</t>
  </si>
  <si>
    <t>IR/CI</t>
  </si>
  <si>
    <t>IR/EI</t>
  </si>
  <si>
    <t>SR</t>
  </si>
  <si>
    <t>Tm [C]</t>
  </si>
  <si>
    <t>Tm2 [C]</t>
  </si>
  <si>
    <t>svetle tyrkysova = nektere veliciny pro vzorek M03 nebyly namereny (slozitou shodou okolnosti, protoze vzorek byl omylem vyroben bez vitaminu E a pak dodelavany dodatecne); nyni je proste aproximujeme z hodnot a trendu znamych jiz drive (nektere hodnoty v tabulce odnadnute pomoci vzorcu/aproximaci ze sesterskeho vzorku M04; jine - hlavne rozpustnosti - z experimentu na dalsich seriich)</t>
  </si>
  <si>
    <t>Grafy pro publikaci</t>
  </si>
  <si>
    <t>modré = všechny běžné</t>
  </si>
  <si>
    <t>zelené = s vitaminem E</t>
  </si>
  <si>
    <t>červené = sterilizované gamma zářením</t>
  </si>
  <si>
    <t>modré = všechny</t>
  </si>
  <si>
    <t>fialové = prokazatelně síťované dávkou &gt;90kGy</t>
  </si>
  <si>
    <t>...K05: sterilizovaný gamma zářením, ALE současně stabilizovaný vitaminem E</t>
  </si>
  <si>
    <t>...K03: stabilizovaný vitaminem E, ALE současně bez tepelné úpravy</t>
  </si>
  <si>
    <t>oranžové = zajímavé přechodné případy:</t>
  </si>
  <si>
    <t>světle šedé = prokazatelně bez tepelné úpravy (NN-vzorky)</t>
  </si>
  <si>
    <t>tmavě šedé = prokazatelně s tepelnou úpravou pomocí AN</t>
  </si>
  <si>
    <t>tmave tyrkysova = HODNE priblizna hodnota OOT, vylozene odhadnuta z TGA krivky (J.Kredatusova ji ani neurcovala, protoze to seriozne neslo) - ja jsem ji odhadnul jako teplotu, po ktere to opravdu zacina silne klesat, vicemene aby nebyl sloupcovy graf prazdny</t>
  </si>
  <si>
    <t>Zde je legenda barev stejna jako u grafu IR/OI</t>
  </si>
  <si>
    <t>(ono to spolu totiž souvisí, obojí cosi říká o oxidačním poškození, resp. odolnosti vůči němu</t>
  </si>
  <si>
    <t>Závěry:</t>
  </si>
  <si>
    <t>1) samotný vitamin E v kombinaci s dalšími vhodnými úpravami oxidační poškození snižuje</t>
  </si>
  <si>
    <t>2) sterilizace gamma zářením naopak odolnost vůči oxidaci snižuje</t>
  </si>
  <si>
    <t>3) v některých přechodných případech jdou efekty proti sobě, takže se vyprůměrují =&gt; viz oranžové sloupce a jejich popis</t>
  </si>
  <si>
    <t>1) Vyšší radiační dávka znamená zpravidla vyšší VI</t>
  </si>
  <si>
    <t>2) ALE korelace není bez výjimek - vznik dvojných vazeb evidentně závisí též na podmínkách ozařování</t>
  </si>
  <si>
    <t>2) AN-vzorky = annealované vzorky</t>
  </si>
  <si>
    <t>1) NN-vzorky = vzorky bez tepelné úpravy mají krystalinitu obecně vyšší</t>
  </si>
  <si>
    <t>1) Stabilizace s vitaminem E hodně pomáhá.</t>
  </si>
  <si>
    <t>2) Vitamin E v kombinaci s "riskantnějšími úpravami nemá takový vliv</t>
  </si>
  <si>
    <t>3) Sterilizace gamma zářením hodně škodí u okamžité oxidace a snižuje i dlouhodobou oxidaci, i když u TGA experimentů se to projeví jen v menší míře (což je logické).</t>
  </si>
  <si>
    <t>Zde je legenda barev stejna jako u grafu IR/CI</t>
  </si>
  <si>
    <t>(IR/CI a Hv spolu maji korelovat, jak je dolozeno v dalsich statitickych vyhodnocenich</t>
  </si>
  <si>
    <t>(a tyto sloupcove grafy jsou zde mj. na jednoduche vizualni dolozeni zminene korelace</t>
  </si>
  <si>
    <t>Zaver:</t>
  </si>
  <si>
    <t>1) Hv evidentne (a v souladu s teorii) souvisi s krystalinitou</t>
  </si>
  <si>
    <t>2) Shoda neni dokonala (roli hraji i dalsi parametry, zejmena lc), ale je dost dobra</t>
  </si>
  <si>
    <t>3) Shoda vynikne zejmena pri celkovem pohledu na graf, obecny tvar je stejny</t>
  </si>
  <si>
    <t>4) Vyznamnou shodu lze dolozit i pomoci statistiky, viz dale</t>
  </si>
  <si>
    <t>5) Potvrzeni shody je dulezity bod, ktery potvrzuje presnost a spravnost nasich mereni</t>
  </si>
  <si>
    <t>(a) oxidační indexy, (b) trans-vinylenové indexy, (c) indexy krystalinity, (d) mikrotvrdost a</t>
  </si>
  <si>
    <t>(e) oxidační indukční teplota. Barevně jsou v grafech označeny různé typické vzorky;</t>
  </si>
  <si>
    <t>význam barevného značení je vysvětlen přímo v textu.</t>
  </si>
  <si>
    <t>Obrázek 1. Sloupcové grafy ukazující nejdůležitější veličiny popisující strukturu a vlastnosti UHMWPE:</t>
  </si>
  <si>
    <t>(graf pripraveny/naformatovany primo zde pro tisk/ulozeni/vlozeni do publikace: (1) vybrat bunky, na kterych jsou grafy pod sebou vlozeny (2) vytisknout v PDF-creatoru s velmi uzkymi okraji do PNG</t>
  </si>
  <si>
    <t>(FINALNI ZDROJOVA DATA jsou na listu [VyslednaTabulka] -&gt; vybrana data pro jednoduchost a pohodlnejsi vytvoreni grafu prenesena sem pomoci vzorcu/odkazu</t>
  </si>
  <si>
    <t>(FINALNI ZDROJOVA DATA jsou na listu [VyslednaTabulka] -&gt; vybrana data pro jednoduchost prenesena sem pomoci vzorcu/odkazu</t>
  </si>
  <si>
    <t>Označení</t>
  </si>
  <si>
    <t>Dodavatel</t>
  </si>
  <si>
    <t>ÚMCH</t>
  </si>
  <si>
    <t>Beznoska, PE/50kGy+RM+E (sitovany s VitE, planovany pro kolena)</t>
  </si>
  <si>
    <t>Beznoska, PE/100kGy+RM+E (vice sitovany s VitE, planovany pro kycle)</t>
  </si>
  <si>
    <t>Tabulka1  pro publikaci</t>
  </si>
  <si>
    <t>(jedna se o navrh, jak by mohla vysledna tabulka do publikace vypadat, finalni podobu a doplneni dalsich udaju nechavam na P.Fulinovi - popisy je mozno upravit primo zde</t>
  </si>
  <si>
    <t>Beznoska, PE (univerzalni nesitovany)</t>
  </si>
  <si>
    <t>Beznoska, PE+E (univerzalni nesitovany s VitE)</t>
  </si>
  <si>
    <t>(poznamka: u dalsich tabulek pak neni treba udavat popis a vyrobce, staci jen oznaceni/kod vzorku</t>
  </si>
  <si>
    <t>DSC/CR</t>
  </si>
  <si>
    <t>EtO+NN</t>
  </si>
  <si>
    <t>yes+NN</t>
  </si>
  <si>
    <t>yes+AN</t>
  </si>
  <si>
    <t>Smerodatne odchylky k IR pro 1nich 5 vzorku (M01--M04; B01) pocital MS (pomoci skriptu v pgmu MINT), pro komercni vzorky to vypocital PF (v Excelu, dopsal do tabulky do Wordu v jedne z verzi manuscriptu, sem jsem to zpetne nakopiroval).</t>
  </si>
  <si>
    <t>Control</t>
  </si>
  <si>
    <t>Comm</t>
  </si>
  <si>
    <t>Notes</t>
  </si>
  <si>
    <t>UHMWPE, Series.O5 :: {modification - structure - properties}  correlations for 21 new/unused PE-liners used for THR, which were the most widely used in the Czech hospitals as of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</si>
</sst>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B050"/>
      <name val="Calibri"/>
      <family val="2"/>
      <charset val="238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/>
  </cellStyleXfs>
  <cellXfs count="82">
    <xf numFmtId="0" fontId="0" fillId="0" borderId="0" xfId="0"/>
    <xf numFmtId="0" fontId="5" fillId="0" borderId="0" xfId="0" applyFont="1"/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horizontal="center"/>
    </xf>
    <xf numFmtId="0" fontId="6" fillId="0" borderId="0" xfId="0" applyFont="1"/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horizontal="center"/>
    </xf>
    <xf numFmtId="0" fontId="4" fillId="6" borderId="0" xfId="0" applyFont="1" applyFill="1"/>
    <xf numFmtId="0" fontId="0" fillId="6" borderId="0" xfId="0" applyFill="1"/>
    <xf numFmtId="0" fontId="0" fillId="7" borderId="0" xfId="0" applyFill="1"/>
    <xf numFmtId="0" fontId="7" fillId="0" borderId="0" xfId="0" applyFont="1" applyAlignment="1">
      <alignment horizontal="center"/>
    </xf>
    <xf numFmtId="0" fontId="0" fillId="8" borderId="0" xfId="0" applyFill="1"/>
    <xf numFmtId="0" fontId="8" fillId="0" borderId="0" xfId="0" applyFont="1"/>
    <xf numFmtId="0" fontId="0" fillId="9" borderId="0" xfId="0" applyFill="1"/>
    <xf numFmtId="0" fontId="6" fillId="9" borderId="0" xfId="0" applyFont="1" applyFill="1"/>
    <xf numFmtId="0" fontId="7" fillId="9" borderId="0" xfId="0" applyFont="1" applyFill="1" applyAlignment="1">
      <alignment horizontal="center"/>
    </xf>
    <xf numFmtId="0" fontId="5" fillId="9" borderId="0" xfId="0" applyFont="1" applyFill="1"/>
    <xf numFmtId="0" fontId="8" fillId="9" borderId="0" xfId="0" applyFont="1" applyFill="1"/>
    <xf numFmtId="0" fontId="7" fillId="9" borderId="0" xfId="0" applyFont="1" applyFill="1"/>
    <xf numFmtId="0" fontId="3" fillId="0" borderId="0" xfId="0" applyFont="1"/>
    <xf numFmtId="0" fontId="7" fillId="0" borderId="0" xfId="0" applyFont="1" applyFill="1"/>
    <xf numFmtId="0" fontId="0" fillId="0" borderId="0" xfId="0" applyFill="1"/>
    <xf numFmtId="0" fontId="4" fillId="0" borderId="0" xfId="0" applyFont="1" applyFill="1"/>
    <xf numFmtId="0" fontId="7" fillId="0" borderId="0" xfId="0" applyFont="1" applyAlignment="1">
      <alignment horizontal="left"/>
    </xf>
    <xf numFmtId="0" fontId="0" fillId="0" borderId="0" xfId="0" applyFill="1" applyAlignment="1">
      <alignment horizontal="left"/>
    </xf>
    <xf numFmtId="0" fontId="6" fillId="0" borderId="0" xfId="0" applyFont="1" applyFill="1"/>
    <xf numFmtId="0" fontId="0" fillId="10" borderId="0" xfId="0" applyFill="1"/>
    <xf numFmtId="0" fontId="0" fillId="11" borderId="0" xfId="0" applyFill="1"/>
    <xf numFmtId="0" fontId="0" fillId="11" borderId="0" xfId="0" applyFill="1" applyAlignment="1">
      <alignment horizontal="left"/>
    </xf>
    <xf numFmtId="0" fontId="7" fillId="0" borderId="0" xfId="0" applyFont="1"/>
    <xf numFmtId="165" fontId="7" fillId="0" borderId="0" xfId="0" applyNumberFormat="1" applyFont="1"/>
    <xf numFmtId="0" fontId="0" fillId="12" borderId="0" xfId="0" applyFill="1"/>
    <xf numFmtId="0" fontId="0" fillId="13" borderId="0" xfId="0" applyFill="1"/>
    <xf numFmtId="0" fontId="0" fillId="14" borderId="0" xfId="0" applyFill="1"/>
    <xf numFmtId="164" fontId="0" fillId="0" borderId="0" xfId="0" applyNumberFormat="1" applyAlignment="1">
      <alignment horizontal="center"/>
    </xf>
    <xf numFmtId="0" fontId="7" fillId="0" borderId="0" xfId="0" applyFont="1" applyFill="1" applyAlignment="1">
      <alignment horizontal="left"/>
    </xf>
    <xf numFmtId="165" fontId="7" fillId="0" borderId="0" xfId="0" applyNumberFormat="1" applyFont="1" applyFill="1"/>
    <xf numFmtId="164" fontId="7" fillId="5" borderId="0" xfId="0" applyNumberFormat="1" applyFont="1" applyFill="1" applyAlignment="1">
      <alignment horizontal="center"/>
    </xf>
    <xf numFmtId="0" fontId="5" fillId="0" borderId="0" xfId="0" applyFont="1" applyFill="1"/>
    <xf numFmtId="1" fontId="0" fillId="0" borderId="0" xfId="0" applyNumberFormat="1" applyAlignment="1"/>
    <xf numFmtId="1" fontId="0" fillId="0" borderId="0" xfId="0" applyNumberFormat="1" applyFill="1" applyAlignment="1"/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165" fontId="0" fillId="0" borderId="0" xfId="0" applyNumberFormat="1" applyFill="1"/>
    <xf numFmtId="1" fontId="0" fillId="0" borderId="0" xfId="0" applyNumberFormat="1" applyFill="1"/>
    <xf numFmtId="0" fontId="0" fillId="15" borderId="0" xfId="0" applyFill="1"/>
    <xf numFmtId="164" fontId="0" fillId="0" borderId="0" xfId="0" applyNumberFormat="1"/>
    <xf numFmtId="164" fontId="5" fillId="0" borderId="0" xfId="0" applyNumberFormat="1" applyFont="1"/>
    <xf numFmtId="0" fontId="0" fillId="16" borderId="0" xfId="0" applyFill="1"/>
    <xf numFmtId="0" fontId="10" fillId="0" borderId="0" xfId="0" applyFont="1" applyFill="1" applyAlignment="1">
      <alignment horizontal="left"/>
    </xf>
    <xf numFmtId="0" fontId="0" fillId="17" borderId="0" xfId="0" applyFill="1"/>
    <xf numFmtId="164" fontId="0" fillId="0" borderId="0" xfId="0" applyNumberFormat="1" applyFill="1" applyAlignment="1">
      <alignment horizontal="center"/>
    </xf>
    <xf numFmtId="2" fontId="0" fillId="0" borderId="0" xfId="0" applyNumberFormat="1" applyFill="1"/>
    <xf numFmtId="1" fontId="7" fillId="0" borderId="0" xfId="0" applyNumberFormat="1" applyFont="1" applyFill="1" applyAlignment="1"/>
    <xf numFmtId="164" fontId="7" fillId="18" borderId="0" xfId="0" applyNumberFormat="1" applyFont="1" applyFill="1" applyAlignment="1">
      <alignment horizontal="center"/>
    </xf>
    <xf numFmtId="1" fontId="7" fillId="18" borderId="0" xfId="0" applyNumberFormat="1" applyFont="1" applyFill="1"/>
    <xf numFmtId="0" fontId="0" fillId="18" borderId="0" xfId="0" applyFill="1"/>
    <xf numFmtId="1" fontId="0" fillId="18" borderId="0" xfId="0" applyNumberFormat="1" applyFill="1"/>
    <xf numFmtId="165" fontId="7" fillId="18" borderId="0" xfId="0" applyNumberFormat="1" applyFont="1" applyFill="1"/>
    <xf numFmtId="0" fontId="10" fillId="0" borderId="0" xfId="0" applyNumberFormat="1" applyFont="1" applyFill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vertical="center"/>
    </xf>
    <xf numFmtId="0" fontId="2" fillId="0" borderId="0" xfId="0" applyFont="1" applyFill="1"/>
    <xf numFmtId="0" fontId="2" fillId="0" borderId="0" xfId="0" applyFont="1"/>
    <xf numFmtId="0" fontId="11" fillId="0" borderId="0" xfId="0" applyFont="1" applyFill="1" applyBorder="1" applyAlignment="1">
      <alignment horizontal="left"/>
    </xf>
    <xf numFmtId="0" fontId="7" fillId="8" borderId="0" xfId="0" applyFont="1" applyFill="1"/>
    <xf numFmtId="0" fontId="0" fillId="19" borderId="0" xfId="0" applyFill="1"/>
    <xf numFmtId="0" fontId="10" fillId="20" borderId="0" xfId="0" applyFont="1" applyFill="1" applyAlignment="1">
      <alignment horizontal="left"/>
    </xf>
    <xf numFmtId="0" fontId="10" fillId="21" borderId="0" xfId="0" applyFont="1" applyFill="1" applyAlignment="1">
      <alignment horizontal="left"/>
    </xf>
    <xf numFmtId="0" fontId="0" fillId="21" borderId="0" xfId="0" applyFill="1"/>
    <xf numFmtId="0" fontId="0" fillId="20" borderId="0" xfId="0" applyFill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22" borderId="0" xfId="0" applyNumberFormat="1" applyFill="1" applyAlignment="1"/>
    <xf numFmtId="0" fontId="0" fillId="22" borderId="0" xfId="0" applyFill="1"/>
    <xf numFmtId="0" fontId="1" fillId="0" borderId="0" xfId="0" applyFont="1"/>
    <xf numFmtId="165" fontId="0" fillId="0" borderId="0" xfId="0" applyNumberFormat="1" applyAlignment="1">
      <alignment horizontal="center"/>
    </xf>
    <xf numFmtId="0" fontId="4" fillId="0" borderId="0" xfId="0" applyFont="1"/>
  </cellXfs>
  <cellStyles count="2">
    <cellStyle name="Normální" xfId="0" builtinId="0"/>
    <cellStyle name="normální 23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716907261592301"/>
          <c:y val="5.1400554097404488E-2"/>
          <c:w val="0.86767935258092743"/>
          <c:h val="0.8025966025080197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1D1E-4083-A83A-960D308E255E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3-1D1E-4083-A83A-960D308E255E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5-1D1E-4083-A83A-960D308E255E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7-1D1E-4083-A83A-960D308E255E}"/>
              </c:ext>
            </c:extLst>
          </c:dPt>
          <c:dPt>
            <c:idx val="6"/>
            <c:invertIfNegative val="0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9-1D1E-4083-A83A-960D308E255E}"/>
              </c:ext>
            </c:extLst>
          </c:dPt>
          <c:dPt>
            <c:idx val="8"/>
            <c:invertIfNegative val="0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B-1D1E-4083-A83A-960D308E255E}"/>
              </c:ext>
            </c:extLst>
          </c:dPt>
          <c:dPt>
            <c:idx val="13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D-1D1E-4083-A83A-960D308E255E}"/>
              </c:ext>
            </c:extLst>
          </c:dPt>
          <c:cat>
            <c:strRef>
              <c:f>GraphsForPublication!$A$6:$A$26</c:f>
              <c:strCache>
                <c:ptCount val="21"/>
                <c:pt idx="0">
                  <c:v>M01</c:v>
                </c:pt>
                <c:pt idx="1">
                  <c:v>M02</c:v>
                </c:pt>
                <c:pt idx="2">
                  <c:v>M03</c:v>
                </c:pt>
                <c:pt idx="3">
                  <c:v>M04</c:v>
                </c:pt>
                <c:pt idx="4">
                  <c:v>K01</c:v>
                </c:pt>
                <c:pt idx="5">
                  <c:v>K02</c:v>
                </c:pt>
                <c:pt idx="6">
                  <c:v>K03</c:v>
                </c:pt>
                <c:pt idx="7">
                  <c:v>K04</c:v>
                </c:pt>
                <c:pt idx="8">
                  <c:v>K05</c:v>
                </c:pt>
                <c:pt idx="9">
                  <c:v>K06</c:v>
                </c:pt>
                <c:pt idx="10">
                  <c:v>K07</c:v>
                </c:pt>
                <c:pt idx="11">
                  <c:v>K08</c:v>
                </c:pt>
                <c:pt idx="12">
                  <c:v>K09</c:v>
                </c:pt>
                <c:pt idx="13">
                  <c:v>K10</c:v>
                </c:pt>
                <c:pt idx="14">
                  <c:v>K11</c:v>
                </c:pt>
                <c:pt idx="15">
                  <c:v>K12</c:v>
                </c:pt>
                <c:pt idx="16">
                  <c:v>K13</c:v>
                </c:pt>
                <c:pt idx="17">
                  <c:v>K14</c:v>
                </c:pt>
                <c:pt idx="18">
                  <c:v>K15</c:v>
                </c:pt>
                <c:pt idx="19">
                  <c:v>K16</c:v>
                </c:pt>
                <c:pt idx="20">
                  <c:v>K17</c:v>
                </c:pt>
              </c:strCache>
            </c:strRef>
          </c:cat>
          <c:val>
            <c:numRef>
              <c:f>GraphsForPublication!$B$6:$B$26</c:f>
              <c:numCache>
                <c:formatCode>0.000</c:formatCode>
                <c:ptCount val="21"/>
                <c:pt idx="0">
                  <c:v>4.2160256410256398E-2</c:v>
                </c:pt>
                <c:pt idx="1">
                  <c:v>4.7124183006535978E-3</c:v>
                </c:pt>
                <c:pt idx="2">
                  <c:v>1.3917322834645664E-2</c:v>
                </c:pt>
                <c:pt idx="3">
                  <c:v>2.183464566929133E-2</c:v>
                </c:pt>
                <c:pt idx="4">
                  <c:v>3.9291666666666641E-2</c:v>
                </c:pt>
                <c:pt idx="5">
                  <c:v>8.5000000000000006E-2</c:v>
                </c:pt>
                <c:pt idx="6">
                  <c:v>6.0999999999999999E-2</c:v>
                </c:pt>
                <c:pt idx="7">
                  <c:v>2.1999999999999999E-2</c:v>
                </c:pt>
                <c:pt idx="8">
                  <c:v>3.5999999999999997E-2</c:v>
                </c:pt>
                <c:pt idx="9">
                  <c:v>4.8000000000000001E-2</c:v>
                </c:pt>
                <c:pt idx="10">
                  <c:v>3.1E-2</c:v>
                </c:pt>
                <c:pt idx="11">
                  <c:v>4.4999999999999998E-2</c:v>
                </c:pt>
                <c:pt idx="12">
                  <c:v>2.5999999999999999E-2</c:v>
                </c:pt>
                <c:pt idx="13">
                  <c:v>0.129</c:v>
                </c:pt>
                <c:pt idx="14">
                  <c:v>3.5000000000000003E-2</c:v>
                </c:pt>
                <c:pt idx="15">
                  <c:v>4.3999999999999997E-2</c:v>
                </c:pt>
                <c:pt idx="16">
                  <c:v>0.06</c:v>
                </c:pt>
                <c:pt idx="17">
                  <c:v>2.3E-2</c:v>
                </c:pt>
                <c:pt idx="18">
                  <c:v>3.7999999999999999E-2</c:v>
                </c:pt>
                <c:pt idx="19">
                  <c:v>2.4E-2</c:v>
                </c:pt>
                <c:pt idx="20">
                  <c:v>4.2000000000000003E-2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D1E-4083-A83A-960D308E2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865408"/>
        <c:axId val="150866944"/>
      </c:barChart>
      <c:catAx>
        <c:axId val="1508654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50866944"/>
        <c:crosses val="autoZero"/>
        <c:auto val="1"/>
        <c:lblAlgn val="ctr"/>
        <c:lblOffset val="100"/>
        <c:noMultiLvlLbl val="0"/>
      </c:catAx>
      <c:valAx>
        <c:axId val="1508669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/>
                </a:pPr>
                <a:r>
                  <a:rPr lang="cs-CZ" sz="1100" baseline="0"/>
                  <a:t>IR/OI</a:t>
                </a:r>
                <a:endParaRPr lang="cs-CZ" sz="1100"/>
              </a:p>
            </c:rich>
          </c:tx>
          <c:layout>
            <c:manualLayout>
              <c:xMode val="edge"/>
              <c:yMode val="edge"/>
              <c:x val="1.3033408334133349E-2"/>
              <c:y val="0.32407424071990998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crossAx val="150865408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716907261592301"/>
          <c:y val="5.1400554097404488E-2"/>
          <c:w val="0.86767935258092743"/>
          <c:h val="0.8025966025080197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1-06D3-4C6A-84F5-7D086F86E1DA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06D3-4C6A-84F5-7D086F86E1DA}"/>
              </c:ext>
            </c:extLst>
          </c:dPt>
          <c:dPt>
            <c:idx val="8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4-06D3-4C6A-84F5-7D086F86E1DA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06D3-4C6A-84F5-7D086F86E1DA}"/>
              </c:ext>
            </c:extLst>
          </c:dPt>
          <c:dPt>
            <c:idx val="1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D-06D3-4C6A-84F5-7D086F86E1DA}"/>
              </c:ext>
            </c:extLst>
          </c:dPt>
          <c:dPt>
            <c:idx val="17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7-06D3-4C6A-84F5-7D086F86E1DA}"/>
              </c:ext>
            </c:extLst>
          </c:dPt>
          <c:dPt>
            <c:idx val="18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9-06D3-4C6A-84F5-7D086F86E1DA}"/>
              </c:ext>
            </c:extLst>
          </c:dPt>
          <c:dPt>
            <c:idx val="19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B-06D3-4C6A-84F5-7D086F86E1DA}"/>
              </c:ext>
            </c:extLst>
          </c:dPt>
          <c:cat>
            <c:strRef>
              <c:f>GraphsForPublication!$A$6:$A$26</c:f>
              <c:strCache>
                <c:ptCount val="21"/>
                <c:pt idx="0">
                  <c:v>M01</c:v>
                </c:pt>
                <c:pt idx="1">
                  <c:v>M02</c:v>
                </c:pt>
                <c:pt idx="2">
                  <c:v>M03</c:v>
                </c:pt>
                <c:pt idx="3">
                  <c:v>M04</c:v>
                </c:pt>
                <c:pt idx="4">
                  <c:v>K01</c:v>
                </c:pt>
                <c:pt idx="5">
                  <c:v>K02</c:v>
                </c:pt>
                <c:pt idx="6">
                  <c:v>K03</c:v>
                </c:pt>
                <c:pt idx="7">
                  <c:v>K04</c:v>
                </c:pt>
                <c:pt idx="8">
                  <c:v>K05</c:v>
                </c:pt>
                <c:pt idx="9">
                  <c:v>K06</c:v>
                </c:pt>
                <c:pt idx="10">
                  <c:v>K07</c:v>
                </c:pt>
                <c:pt idx="11">
                  <c:v>K08</c:v>
                </c:pt>
                <c:pt idx="12">
                  <c:v>K09</c:v>
                </c:pt>
                <c:pt idx="13">
                  <c:v>K10</c:v>
                </c:pt>
                <c:pt idx="14">
                  <c:v>K11</c:v>
                </c:pt>
                <c:pt idx="15">
                  <c:v>K12</c:v>
                </c:pt>
                <c:pt idx="16">
                  <c:v>K13</c:v>
                </c:pt>
                <c:pt idx="17">
                  <c:v>K14</c:v>
                </c:pt>
                <c:pt idx="18">
                  <c:v>K15</c:v>
                </c:pt>
                <c:pt idx="19">
                  <c:v>K16</c:v>
                </c:pt>
                <c:pt idx="20">
                  <c:v>K17</c:v>
                </c:pt>
              </c:strCache>
            </c:strRef>
          </c:cat>
          <c:val>
            <c:numRef>
              <c:f>GraphsForPublication!$D$6:$D$26</c:f>
              <c:numCache>
                <c:formatCode>0.000</c:formatCode>
                <c:ptCount val="21"/>
                <c:pt idx="0">
                  <c:v>6.5789473684210538E-5</c:v>
                </c:pt>
                <c:pt idx="1">
                  <c:v>1.9607843137254909E-4</c:v>
                </c:pt>
                <c:pt idx="2">
                  <c:v>1.3312030075187959E-2</c:v>
                </c:pt>
                <c:pt idx="3">
                  <c:v>2.6624060150375918E-2</c:v>
                </c:pt>
                <c:pt idx="4">
                  <c:v>2.0750000000000001E-2</c:v>
                </c:pt>
                <c:pt idx="5">
                  <c:v>1.2E-2</c:v>
                </c:pt>
                <c:pt idx="6">
                  <c:v>0.05</c:v>
                </c:pt>
                <c:pt idx="7">
                  <c:v>2.1000000000000001E-2</c:v>
                </c:pt>
                <c:pt idx="8">
                  <c:v>4.2000000000000003E-2</c:v>
                </c:pt>
                <c:pt idx="9">
                  <c:v>2.1000000000000001E-2</c:v>
                </c:pt>
                <c:pt idx="10">
                  <c:v>1.7000000000000001E-2</c:v>
                </c:pt>
                <c:pt idx="11">
                  <c:v>2.8000000000000001E-2</c:v>
                </c:pt>
                <c:pt idx="12">
                  <c:v>2.3E-2</c:v>
                </c:pt>
                <c:pt idx="13">
                  <c:v>1.2E-2</c:v>
                </c:pt>
                <c:pt idx="14">
                  <c:v>2.1000000000000001E-2</c:v>
                </c:pt>
                <c:pt idx="15">
                  <c:v>2.1999999999999999E-2</c:v>
                </c:pt>
                <c:pt idx="16">
                  <c:v>5.3999999999999999E-2</c:v>
                </c:pt>
                <c:pt idx="17">
                  <c:v>5.2999999999999999E-2</c:v>
                </c:pt>
                <c:pt idx="18">
                  <c:v>4.4999999999999998E-2</c:v>
                </c:pt>
                <c:pt idx="19">
                  <c:v>5.1999999999999998E-2</c:v>
                </c:pt>
                <c:pt idx="20">
                  <c:v>1.9E-2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6D3-4C6A-84F5-7D086F86E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901504"/>
        <c:axId val="150903040"/>
      </c:barChart>
      <c:catAx>
        <c:axId val="1509015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50903040"/>
        <c:crosses val="autoZero"/>
        <c:auto val="1"/>
        <c:lblAlgn val="ctr"/>
        <c:lblOffset val="100"/>
        <c:noMultiLvlLbl val="0"/>
      </c:catAx>
      <c:valAx>
        <c:axId val="15090304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/>
                </a:pPr>
                <a:r>
                  <a:rPr lang="cs-CZ" sz="1100" baseline="0"/>
                  <a:t>IR/VI</a:t>
                </a:r>
                <a:endParaRPr lang="cs-CZ" sz="1100"/>
              </a:p>
            </c:rich>
          </c:tx>
          <c:layout>
            <c:manualLayout>
              <c:xMode val="edge"/>
              <c:yMode val="edge"/>
              <c:x val="1.3033408334133349E-2"/>
              <c:y val="0.32407424071990998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crossAx val="150901504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716907261592301"/>
          <c:y val="5.1400554097404488E-2"/>
          <c:w val="0.86767935258092743"/>
          <c:h val="0.8025966025080197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A564-490D-A058-5C53D5D1AC03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A564-490D-A058-5C53D5D1AC03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5-A564-490D-A058-5C53D5D1AC03}"/>
              </c:ext>
            </c:extLst>
          </c:dPt>
          <c:dPt>
            <c:idx val="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A564-490D-A058-5C53D5D1AC03}"/>
              </c:ext>
            </c:extLst>
          </c:dPt>
          <c:dPt>
            <c:idx val="7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9-A564-490D-A058-5C53D5D1AC03}"/>
              </c:ext>
            </c:extLst>
          </c:dPt>
          <c:dPt>
            <c:idx val="8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B-A564-490D-A058-5C53D5D1AC03}"/>
              </c:ext>
            </c:extLst>
          </c:dPt>
          <c:dPt>
            <c:idx val="13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D-A564-490D-A058-5C53D5D1AC03}"/>
              </c:ext>
            </c:extLst>
          </c:dPt>
          <c:cat>
            <c:strRef>
              <c:f>GraphsForPublication!$A$6:$A$26</c:f>
              <c:strCache>
                <c:ptCount val="21"/>
                <c:pt idx="0">
                  <c:v>M01</c:v>
                </c:pt>
                <c:pt idx="1">
                  <c:v>M02</c:v>
                </c:pt>
                <c:pt idx="2">
                  <c:v>M03</c:v>
                </c:pt>
                <c:pt idx="3">
                  <c:v>M04</c:v>
                </c:pt>
                <c:pt idx="4">
                  <c:v>K01</c:v>
                </c:pt>
                <c:pt idx="5">
                  <c:v>K02</c:v>
                </c:pt>
                <c:pt idx="6">
                  <c:v>K03</c:v>
                </c:pt>
                <c:pt idx="7">
                  <c:v>K04</c:v>
                </c:pt>
                <c:pt idx="8">
                  <c:v>K05</c:v>
                </c:pt>
                <c:pt idx="9">
                  <c:v>K06</c:v>
                </c:pt>
                <c:pt idx="10">
                  <c:v>K07</c:v>
                </c:pt>
                <c:pt idx="11">
                  <c:v>K08</c:v>
                </c:pt>
                <c:pt idx="12">
                  <c:v>K09</c:v>
                </c:pt>
                <c:pt idx="13">
                  <c:v>K10</c:v>
                </c:pt>
                <c:pt idx="14">
                  <c:v>K11</c:v>
                </c:pt>
                <c:pt idx="15">
                  <c:v>K12</c:v>
                </c:pt>
                <c:pt idx="16">
                  <c:v>K13</c:v>
                </c:pt>
                <c:pt idx="17">
                  <c:v>K14</c:v>
                </c:pt>
                <c:pt idx="18">
                  <c:v>K15</c:v>
                </c:pt>
                <c:pt idx="19">
                  <c:v>K16</c:v>
                </c:pt>
                <c:pt idx="20">
                  <c:v>K17</c:v>
                </c:pt>
              </c:strCache>
            </c:strRef>
          </c:cat>
          <c:val>
            <c:numRef>
              <c:f>GraphsForPublication!$F$6:$F$26</c:f>
              <c:numCache>
                <c:formatCode>0.000</c:formatCode>
                <c:ptCount val="21"/>
                <c:pt idx="0">
                  <c:v>0.60686708860759475</c:v>
                </c:pt>
                <c:pt idx="1">
                  <c:v>0.60547058823529343</c:v>
                </c:pt>
                <c:pt idx="2">
                  <c:v>0.58461654135338337</c:v>
                </c:pt>
                <c:pt idx="3">
                  <c:v>0.58361654135338337</c:v>
                </c:pt>
                <c:pt idx="4">
                  <c:v>0.57051388888888888</c:v>
                </c:pt>
                <c:pt idx="5">
                  <c:v>0.625</c:v>
                </c:pt>
                <c:pt idx="6">
                  <c:v>0.62</c:v>
                </c:pt>
                <c:pt idx="7">
                  <c:v>0.61899999999999999</c:v>
                </c:pt>
                <c:pt idx="8">
                  <c:v>0.63700000000000001</c:v>
                </c:pt>
                <c:pt idx="9">
                  <c:v>0.57899999999999996</c:v>
                </c:pt>
                <c:pt idx="10">
                  <c:v>0.55700000000000005</c:v>
                </c:pt>
                <c:pt idx="11">
                  <c:v>0.55300000000000005</c:v>
                </c:pt>
                <c:pt idx="12">
                  <c:v>0.57599999999999996</c:v>
                </c:pt>
                <c:pt idx="13">
                  <c:v>0.626</c:v>
                </c:pt>
                <c:pt idx="14">
                  <c:v>0.57399999999999995</c:v>
                </c:pt>
                <c:pt idx="15">
                  <c:v>0.59699999999999998</c:v>
                </c:pt>
                <c:pt idx="16">
                  <c:v>0.56599999999999995</c:v>
                </c:pt>
                <c:pt idx="17">
                  <c:v>0.55600000000000005</c:v>
                </c:pt>
                <c:pt idx="18">
                  <c:v>0.55500000000000005</c:v>
                </c:pt>
                <c:pt idx="19">
                  <c:v>0.55700000000000005</c:v>
                </c:pt>
                <c:pt idx="20">
                  <c:v>0.57999999999999996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564-490D-A058-5C53D5D1A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451456"/>
        <c:axId val="206452992"/>
      </c:barChart>
      <c:catAx>
        <c:axId val="2064514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6452992"/>
        <c:crosses val="autoZero"/>
        <c:auto val="1"/>
        <c:lblAlgn val="ctr"/>
        <c:lblOffset val="100"/>
        <c:noMultiLvlLbl val="0"/>
      </c:catAx>
      <c:valAx>
        <c:axId val="2064529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/>
                </a:pPr>
                <a:r>
                  <a:rPr lang="cs-CZ" sz="1100" baseline="0"/>
                  <a:t>IR/CI</a:t>
                </a:r>
                <a:endParaRPr lang="cs-CZ" sz="1100"/>
              </a:p>
            </c:rich>
          </c:tx>
          <c:layout>
            <c:manualLayout>
              <c:xMode val="edge"/>
              <c:yMode val="edge"/>
              <c:x val="1.3033408334133349E-2"/>
              <c:y val="0.33359805024371947"/>
            </c:manualLayout>
          </c:layout>
          <c:overlay val="0"/>
        </c:title>
        <c:numFmt formatCode="0.00" sourceLinked="0"/>
        <c:majorTickMark val="out"/>
        <c:minorTickMark val="none"/>
        <c:tickLblPos val="nextTo"/>
        <c:crossAx val="206451456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716907261592301"/>
          <c:y val="5.1400554097404488E-2"/>
          <c:w val="0.86767935258092743"/>
          <c:h val="0.8025966025080197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10B4-4E08-BC82-7DC76FE01BAE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2-10B4-4E08-BC82-7DC76FE01BAE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4-10B4-4E08-BC82-7DC76FE01BAE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6-10B4-4E08-BC82-7DC76FE01BAE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8-10B4-4E08-BC82-7DC76FE01BAE}"/>
              </c:ext>
            </c:extLst>
          </c:dPt>
          <c:dPt>
            <c:idx val="6"/>
            <c:invertIfNegative val="0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A-10B4-4E08-BC82-7DC76FE01BAE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10B4-4E08-BC82-7DC76FE01BAE}"/>
              </c:ext>
            </c:extLst>
          </c:dPt>
          <c:dPt>
            <c:idx val="8"/>
            <c:invertIfNegative val="0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D-10B4-4E08-BC82-7DC76FE01BAE}"/>
              </c:ext>
            </c:extLst>
          </c:dPt>
          <c:dPt>
            <c:idx val="13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F-10B4-4E08-BC82-7DC76FE01BAE}"/>
              </c:ext>
            </c:extLst>
          </c:dPt>
          <c:cat>
            <c:strRef>
              <c:f>GraphsForPublication!$A$6:$A$26</c:f>
              <c:strCache>
                <c:ptCount val="21"/>
                <c:pt idx="0">
                  <c:v>M01</c:v>
                </c:pt>
                <c:pt idx="1">
                  <c:v>M02</c:v>
                </c:pt>
                <c:pt idx="2">
                  <c:v>M03</c:v>
                </c:pt>
                <c:pt idx="3">
                  <c:v>M04</c:v>
                </c:pt>
                <c:pt idx="4">
                  <c:v>K01</c:v>
                </c:pt>
                <c:pt idx="5">
                  <c:v>K02</c:v>
                </c:pt>
                <c:pt idx="6">
                  <c:v>K03</c:v>
                </c:pt>
                <c:pt idx="7">
                  <c:v>K04</c:v>
                </c:pt>
                <c:pt idx="8">
                  <c:v>K05</c:v>
                </c:pt>
                <c:pt idx="9">
                  <c:v>K06</c:v>
                </c:pt>
                <c:pt idx="10">
                  <c:v>K07</c:v>
                </c:pt>
                <c:pt idx="11">
                  <c:v>K08</c:v>
                </c:pt>
                <c:pt idx="12">
                  <c:v>K09</c:v>
                </c:pt>
                <c:pt idx="13">
                  <c:v>K10</c:v>
                </c:pt>
                <c:pt idx="14">
                  <c:v>K11</c:v>
                </c:pt>
                <c:pt idx="15">
                  <c:v>K12</c:v>
                </c:pt>
                <c:pt idx="16">
                  <c:v>K13</c:v>
                </c:pt>
                <c:pt idx="17">
                  <c:v>K14</c:v>
                </c:pt>
                <c:pt idx="18">
                  <c:v>K15</c:v>
                </c:pt>
                <c:pt idx="19">
                  <c:v>K16</c:v>
                </c:pt>
                <c:pt idx="20">
                  <c:v>K17</c:v>
                </c:pt>
              </c:strCache>
            </c:strRef>
          </c:cat>
          <c:val>
            <c:numRef>
              <c:f>GraphsForPublication!$J$6:$J$26</c:f>
              <c:numCache>
                <c:formatCode>0</c:formatCode>
                <c:ptCount val="21"/>
                <c:pt idx="0">
                  <c:v>221.5</c:v>
                </c:pt>
                <c:pt idx="1">
                  <c:v>282.5</c:v>
                </c:pt>
                <c:pt idx="2">
                  <c:v>269</c:v>
                </c:pt>
                <c:pt idx="3">
                  <c:v>258</c:v>
                </c:pt>
                <c:pt idx="4">
                  <c:v>219.33333333333334</c:v>
                </c:pt>
                <c:pt idx="5">
                  <c:v>203</c:v>
                </c:pt>
                <c:pt idx="6">
                  <c:v>237</c:v>
                </c:pt>
                <c:pt idx="7">
                  <c:v>214</c:v>
                </c:pt>
                <c:pt idx="8">
                  <c:v>230</c:v>
                </c:pt>
                <c:pt idx="9">
                  <c:v>213</c:v>
                </c:pt>
                <c:pt idx="10">
                  <c:v>209</c:v>
                </c:pt>
                <c:pt idx="11">
                  <c:v>208</c:v>
                </c:pt>
                <c:pt idx="12">
                  <c:v>213</c:v>
                </c:pt>
                <c:pt idx="13">
                  <c:v>207</c:v>
                </c:pt>
                <c:pt idx="14">
                  <c:v>212</c:v>
                </c:pt>
                <c:pt idx="15">
                  <c:v>215</c:v>
                </c:pt>
                <c:pt idx="16">
                  <c:v>213</c:v>
                </c:pt>
                <c:pt idx="17">
                  <c:v>213</c:v>
                </c:pt>
                <c:pt idx="18">
                  <c:v>215</c:v>
                </c:pt>
                <c:pt idx="19">
                  <c:v>215</c:v>
                </c:pt>
                <c:pt idx="20">
                  <c:v>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0B4-4E08-BC82-7DC76FE01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492416"/>
        <c:axId val="206493952"/>
      </c:barChart>
      <c:catAx>
        <c:axId val="2064924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6493952"/>
        <c:crosses val="autoZero"/>
        <c:auto val="1"/>
        <c:lblAlgn val="ctr"/>
        <c:lblOffset val="100"/>
        <c:noMultiLvlLbl val="0"/>
      </c:catAx>
      <c:valAx>
        <c:axId val="206493952"/>
        <c:scaling>
          <c:orientation val="minMax"/>
          <c:max val="300"/>
          <c:min val="16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/>
                </a:pPr>
                <a:r>
                  <a:rPr lang="cs-CZ" sz="1100" baseline="0"/>
                  <a:t>OOT (</a:t>
                </a:r>
                <a:r>
                  <a:rPr lang="cs-CZ" sz="1100" baseline="30000"/>
                  <a:t>o</a:t>
                </a:r>
                <a:r>
                  <a:rPr lang="cs-CZ" sz="1100" baseline="0"/>
                  <a:t>C)</a:t>
                </a:r>
                <a:endParaRPr lang="cs-CZ" sz="1100"/>
              </a:p>
            </c:rich>
          </c:tx>
          <c:layout>
            <c:manualLayout>
              <c:xMode val="edge"/>
              <c:yMode val="edge"/>
              <c:x val="1.3033354106528113E-2"/>
              <c:y val="0.2240740157480314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206492416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716907261592301"/>
          <c:y val="5.1400554097404488E-2"/>
          <c:w val="0.86767935258092743"/>
          <c:h val="0.8025966025080197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5BD2-4B50-8E23-E5C803131667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5BD2-4B50-8E23-E5C803131667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5-5BD2-4B50-8E23-E5C803131667}"/>
              </c:ext>
            </c:extLst>
          </c:dPt>
          <c:dPt>
            <c:idx val="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5BD2-4B50-8E23-E5C803131667}"/>
              </c:ext>
            </c:extLst>
          </c:dPt>
          <c:dPt>
            <c:idx val="7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9-5BD2-4B50-8E23-E5C803131667}"/>
              </c:ext>
            </c:extLst>
          </c:dPt>
          <c:dPt>
            <c:idx val="8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B-5BD2-4B50-8E23-E5C803131667}"/>
              </c:ext>
            </c:extLst>
          </c:dPt>
          <c:dPt>
            <c:idx val="13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D-5BD2-4B50-8E23-E5C803131667}"/>
              </c:ext>
            </c:extLst>
          </c:dPt>
          <c:cat>
            <c:strRef>
              <c:f>GraphsForPublication!$A$6:$A$26</c:f>
              <c:strCache>
                <c:ptCount val="21"/>
                <c:pt idx="0">
                  <c:v>M01</c:v>
                </c:pt>
                <c:pt idx="1">
                  <c:v>M02</c:v>
                </c:pt>
                <c:pt idx="2">
                  <c:v>M03</c:v>
                </c:pt>
                <c:pt idx="3">
                  <c:v>M04</c:v>
                </c:pt>
                <c:pt idx="4">
                  <c:v>K01</c:v>
                </c:pt>
                <c:pt idx="5">
                  <c:v>K02</c:v>
                </c:pt>
                <c:pt idx="6">
                  <c:v>K03</c:v>
                </c:pt>
                <c:pt idx="7">
                  <c:v>K04</c:v>
                </c:pt>
                <c:pt idx="8">
                  <c:v>K05</c:v>
                </c:pt>
                <c:pt idx="9">
                  <c:v>K06</c:v>
                </c:pt>
                <c:pt idx="10">
                  <c:v>K07</c:v>
                </c:pt>
                <c:pt idx="11">
                  <c:v>K08</c:v>
                </c:pt>
                <c:pt idx="12">
                  <c:v>K09</c:v>
                </c:pt>
                <c:pt idx="13">
                  <c:v>K10</c:v>
                </c:pt>
                <c:pt idx="14">
                  <c:v>K11</c:v>
                </c:pt>
                <c:pt idx="15">
                  <c:v>K12</c:v>
                </c:pt>
                <c:pt idx="16">
                  <c:v>K13</c:v>
                </c:pt>
                <c:pt idx="17">
                  <c:v>K14</c:v>
                </c:pt>
                <c:pt idx="18">
                  <c:v>K15</c:v>
                </c:pt>
                <c:pt idx="19">
                  <c:v>K16</c:v>
                </c:pt>
                <c:pt idx="20">
                  <c:v>K17</c:v>
                </c:pt>
              </c:strCache>
            </c:strRef>
          </c:cat>
          <c:val>
            <c:numRef>
              <c:f>GraphsForPublication!$H$6:$H$26</c:f>
              <c:numCache>
                <c:formatCode>0.0</c:formatCode>
                <c:ptCount val="21"/>
                <c:pt idx="0">
                  <c:v>48.344999999999999</c:v>
                </c:pt>
                <c:pt idx="1">
                  <c:v>46.7</c:v>
                </c:pt>
                <c:pt idx="2">
                  <c:v>44.086365657154417</c:v>
                </c:pt>
                <c:pt idx="3">
                  <c:v>43.349999999999994</c:v>
                </c:pt>
                <c:pt idx="4">
                  <c:v>43.4</c:v>
                </c:pt>
                <c:pt idx="5">
                  <c:v>50.4</c:v>
                </c:pt>
                <c:pt idx="6">
                  <c:v>47.6</c:v>
                </c:pt>
                <c:pt idx="7">
                  <c:v>49.2</c:v>
                </c:pt>
                <c:pt idx="8">
                  <c:v>46.7</c:v>
                </c:pt>
                <c:pt idx="9">
                  <c:v>44.1</c:v>
                </c:pt>
                <c:pt idx="10">
                  <c:v>40.200000000000003</c:v>
                </c:pt>
                <c:pt idx="11">
                  <c:v>41.2</c:v>
                </c:pt>
                <c:pt idx="12">
                  <c:v>43.4</c:v>
                </c:pt>
                <c:pt idx="13">
                  <c:v>50.8</c:v>
                </c:pt>
                <c:pt idx="14">
                  <c:v>42.7</c:v>
                </c:pt>
                <c:pt idx="15">
                  <c:v>46.4</c:v>
                </c:pt>
                <c:pt idx="16">
                  <c:v>39.5</c:v>
                </c:pt>
                <c:pt idx="17">
                  <c:v>37.9</c:v>
                </c:pt>
                <c:pt idx="18">
                  <c:v>40.5</c:v>
                </c:pt>
                <c:pt idx="19">
                  <c:v>37.799999999999997</c:v>
                </c:pt>
                <c:pt idx="20">
                  <c:v>43.9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BD2-4B50-8E23-E5C803131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525568"/>
        <c:axId val="206527104"/>
      </c:barChart>
      <c:catAx>
        <c:axId val="2065255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6527104"/>
        <c:crosses val="autoZero"/>
        <c:auto val="1"/>
        <c:lblAlgn val="ctr"/>
        <c:lblOffset val="100"/>
        <c:noMultiLvlLbl val="0"/>
      </c:catAx>
      <c:valAx>
        <c:axId val="206527104"/>
        <c:scaling>
          <c:orientation val="minMax"/>
          <c:min val="3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100"/>
                </a:pPr>
                <a:r>
                  <a:rPr lang="en-US" sz="1100"/>
                  <a:t>H</a:t>
                </a:r>
                <a:r>
                  <a:rPr lang="en-US" sz="1100" baseline="-25000"/>
                  <a:t>v</a:t>
                </a:r>
                <a:r>
                  <a:rPr lang="en-US" sz="1100"/>
                  <a:t> (MPa)</a:t>
                </a:r>
                <a:endParaRPr lang="cs-CZ" sz="1100"/>
              </a:p>
            </c:rich>
          </c:tx>
          <c:layout>
            <c:manualLayout>
              <c:xMode val="edge"/>
              <c:yMode val="edge"/>
              <c:x val="1.3033356131542663E-2"/>
              <c:y val="0.28693123359580053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206525568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4</xdr:row>
      <xdr:rowOff>0</xdr:rowOff>
    </xdr:from>
    <xdr:to>
      <xdr:col>22</xdr:col>
      <xdr:colOff>0</xdr:colOff>
      <xdr:row>14</xdr:row>
      <xdr:rowOff>0</xdr:rowOff>
    </xdr:to>
    <xdr:graphicFrame macro="">
      <xdr:nvGraphicFramePr>
        <xdr:cNvPr id="5" name="Graf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14</xdr:row>
      <xdr:rowOff>0</xdr:rowOff>
    </xdr:from>
    <xdr:to>
      <xdr:col>22</xdr:col>
      <xdr:colOff>0</xdr:colOff>
      <xdr:row>24</xdr:row>
      <xdr:rowOff>0</xdr:rowOff>
    </xdr:to>
    <xdr:graphicFrame macro="">
      <xdr:nvGraphicFramePr>
        <xdr:cNvPr id="7" name="Graf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24</xdr:row>
      <xdr:rowOff>0</xdr:rowOff>
    </xdr:from>
    <xdr:to>
      <xdr:col>22</xdr:col>
      <xdr:colOff>0</xdr:colOff>
      <xdr:row>33</xdr:row>
      <xdr:rowOff>190499</xdr:rowOff>
    </xdr:to>
    <xdr:graphicFrame macro="">
      <xdr:nvGraphicFramePr>
        <xdr:cNvPr id="8" name="Graf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44</xdr:row>
      <xdr:rowOff>0</xdr:rowOff>
    </xdr:from>
    <xdr:to>
      <xdr:col>22</xdr:col>
      <xdr:colOff>0</xdr:colOff>
      <xdr:row>54</xdr:row>
      <xdr:rowOff>0</xdr:rowOff>
    </xdr:to>
    <xdr:graphicFrame macro="">
      <xdr:nvGraphicFramePr>
        <xdr:cNvPr id="9" name="Graf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34</xdr:row>
      <xdr:rowOff>0</xdr:rowOff>
    </xdr:from>
    <xdr:to>
      <xdr:col>22</xdr:col>
      <xdr:colOff>0</xdr:colOff>
      <xdr:row>44</xdr:row>
      <xdr:rowOff>0</xdr:rowOff>
    </xdr:to>
    <xdr:graphicFrame macro="">
      <xdr:nvGraphicFramePr>
        <xdr:cNvPr id="6" name="Graf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11</xdr:col>
      <xdr:colOff>0</xdr:colOff>
      <xdr:row>4</xdr:row>
      <xdr:rowOff>0</xdr:rowOff>
    </xdr:from>
    <xdr:ext cx="194862" cy="291866"/>
    <xdr:sp macro="" textlink="">
      <xdr:nvSpPr>
        <xdr:cNvPr id="2" name="TextovéPo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359977" y="571500"/>
          <a:ext cx="194862" cy="2918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36000" rIns="0" bIns="36000" rtlCol="0" anchor="t">
          <a:spAutoFit/>
        </a:bodyPr>
        <a:lstStyle/>
        <a:p>
          <a:r>
            <a:rPr lang="en-US" sz="1400"/>
            <a:t>(a)</a:t>
          </a:r>
          <a:endParaRPr lang="cs-CZ" sz="1400"/>
        </a:p>
      </xdr:txBody>
    </xdr:sp>
    <xdr:clientData/>
  </xdr:oneCellAnchor>
  <xdr:oneCellAnchor>
    <xdr:from>
      <xdr:col>11</xdr:col>
      <xdr:colOff>0</xdr:colOff>
      <xdr:row>14</xdr:row>
      <xdr:rowOff>0</xdr:rowOff>
    </xdr:from>
    <xdr:ext cx="203197" cy="291866"/>
    <xdr:sp macro="" textlink="">
      <xdr:nvSpPr>
        <xdr:cNvPr id="10" name="TextovéPol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5359977" y="2476500"/>
          <a:ext cx="203197" cy="2918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36000" rIns="0" bIns="36000" rtlCol="0" anchor="t">
          <a:spAutoFit/>
        </a:bodyPr>
        <a:lstStyle/>
        <a:p>
          <a:r>
            <a:rPr lang="en-US" sz="1400"/>
            <a:t>(b)</a:t>
          </a:r>
          <a:endParaRPr lang="cs-CZ" sz="1400"/>
        </a:p>
      </xdr:txBody>
    </xdr:sp>
    <xdr:clientData/>
  </xdr:oneCellAnchor>
  <xdr:oneCellAnchor>
    <xdr:from>
      <xdr:col>11</xdr:col>
      <xdr:colOff>0</xdr:colOff>
      <xdr:row>23</xdr:row>
      <xdr:rowOff>181841</xdr:rowOff>
    </xdr:from>
    <xdr:ext cx="184794" cy="291866"/>
    <xdr:sp macro="" textlink="">
      <xdr:nvSpPr>
        <xdr:cNvPr id="11" name="TextovéPol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5359977" y="4372841"/>
          <a:ext cx="184794" cy="2918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36000" rIns="0" bIns="36000" rtlCol="0" anchor="t">
          <a:spAutoFit/>
        </a:bodyPr>
        <a:lstStyle/>
        <a:p>
          <a:r>
            <a:rPr lang="en-US" sz="1400"/>
            <a:t>(c)</a:t>
          </a:r>
          <a:endParaRPr lang="cs-CZ" sz="1400"/>
        </a:p>
      </xdr:txBody>
    </xdr:sp>
    <xdr:clientData/>
  </xdr:oneCellAnchor>
  <xdr:oneCellAnchor>
    <xdr:from>
      <xdr:col>11</xdr:col>
      <xdr:colOff>0</xdr:colOff>
      <xdr:row>34</xdr:row>
      <xdr:rowOff>0</xdr:rowOff>
    </xdr:from>
    <xdr:ext cx="203197" cy="291866"/>
    <xdr:sp macro="" textlink="">
      <xdr:nvSpPr>
        <xdr:cNvPr id="12" name="TextovéPol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5359977" y="6286500"/>
          <a:ext cx="203197" cy="2918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36000" rIns="0" bIns="36000" rtlCol="0" anchor="t">
          <a:spAutoFit/>
        </a:bodyPr>
        <a:lstStyle/>
        <a:p>
          <a:r>
            <a:rPr lang="en-US" sz="1400"/>
            <a:t>(d)</a:t>
          </a:r>
          <a:endParaRPr lang="cs-CZ" sz="1400"/>
        </a:p>
      </xdr:txBody>
    </xdr:sp>
    <xdr:clientData/>
  </xdr:oneCellAnchor>
  <xdr:oneCellAnchor>
    <xdr:from>
      <xdr:col>11</xdr:col>
      <xdr:colOff>0</xdr:colOff>
      <xdr:row>44</xdr:row>
      <xdr:rowOff>0</xdr:rowOff>
    </xdr:from>
    <xdr:ext cx="198196" cy="291866"/>
    <xdr:sp macro="" textlink="">
      <xdr:nvSpPr>
        <xdr:cNvPr id="13" name="TextovéPol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5359977" y="8191500"/>
          <a:ext cx="198196" cy="2918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36000" rIns="0" bIns="36000" rtlCol="0" anchor="t">
          <a:spAutoFit/>
        </a:bodyPr>
        <a:lstStyle/>
        <a:p>
          <a:r>
            <a:rPr lang="en-US" sz="1400"/>
            <a:t>(e)</a:t>
          </a:r>
          <a:endParaRPr lang="cs-CZ" sz="14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11</xdr:row>
      <xdr:rowOff>95249</xdr:rowOff>
    </xdr:from>
    <xdr:to>
      <xdr:col>8</xdr:col>
      <xdr:colOff>571500</xdr:colOff>
      <xdr:row>27</xdr:row>
      <xdr:rowOff>0</xdr:rowOff>
    </xdr:to>
    <xdr:sp macro="" textlink="">
      <xdr:nvSpPr>
        <xdr:cNvPr id="2" name="Pravá složená závorka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5572125" y="2190749"/>
          <a:ext cx="552450" cy="3133726"/>
        </a:xfrm>
        <a:prstGeom prst="rightBrace">
          <a:avLst>
            <a:gd name="adj1" fmla="val 82526"/>
            <a:gd name="adj2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cs-CZ" sz="1100"/>
        </a:p>
      </xdr:txBody>
    </xdr:sp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50"/>
  <sheetViews>
    <sheetView tabSelected="1" zoomScaleNormal="100" workbookViewId="0">
      <selection activeCell="A3" sqref="A3"/>
    </sheetView>
  </sheetViews>
  <sheetFormatPr defaultRowHeight="14.5" x14ac:dyDescent="0.35"/>
  <cols>
    <col min="1" max="1" width="4.7265625" customWidth="1"/>
    <col min="2" max="2" width="10.1796875" customWidth="1"/>
    <col min="3" max="3" width="14.81640625" customWidth="1"/>
    <col min="4" max="4" width="13.26953125" customWidth="1"/>
    <col min="5" max="5" width="18.54296875" customWidth="1"/>
    <col min="6" max="6" width="27.81640625" customWidth="1"/>
    <col min="7" max="7" width="26.7265625" customWidth="1"/>
    <col min="8" max="8" width="18" customWidth="1"/>
    <col min="9" max="9" width="17.7265625" customWidth="1"/>
    <col min="10" max="10" width="11.7265625" customWidth="1"/>
    <col min="11" max="11" width="9.54296875" customWidth="1"/>
    <col min="12" max="17" width="12" customWidth="1"/>
    <col min="18" max="18" width="51.1796875" customWidth="1"/>
    <col min="19" max="35" width="8.7265625" customWidth="1"/>
    <col min="37" max="37" width="14.26953125" customWidth="1"/>
    <col min="38" max="38" width="14.7265625" customWidth="1"/>
    <col min="39" max="39" width="56.6328125" customWidth="1"/>
    <col min="40" max="40" width="16.54296875" customWidth="1"/>
  </cols>
  <sheetData>
    <row r="1" spans="1:40" x14ac:dyDescent="0.35">
      <c r="A1" s="9" t="s">
        <v>379</v>
      </c>
      <c r="B1" s="9"/>
      <c r="C1" s="9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</row>
    <row r="2" spans="1:40" x14ac:dyDescent="0.35">
      <c r="A2" s="31" t="s">
        <v>201</v>
      </c>
      <c r="B2" s="31"/>
      <c r="C2" s="31"/>
      <c r="H2" t="s">
        <v>375</v>
      </c>
    </row>
    <row r="3" spans="1:40" x14ac:dyDescent="0.35">
      <c r="A3" s="31"/>
      <c r="B3" s="31"/>
      <c r="C3" s="31"/>
      <c r="V3" s="28" t="s">
        <v>275</v>
      </c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</row>
    <row r="4" spans="1:40" x14ac:dyDescent="0.35">
      <c r="A4" s="31" t="s">
        <v>202</v>
      </c>
      <c r="B4" s="31"/>
      <c r="C4" s="31"/>
      <c r="D4" s="31"/>
      <c r="H4" t="s">
        <v>235</v>
      </c>
      <c r="V4" t="s">
        <v>269</v>
      </c>
      <c r="W4" s="50">
        <f>TTEST(V7:W14,X7:X9,2,3)</f>
        <v>0.22506010669276522</v>
      </c>
      <c r="X4" t="s">
        <v>270</v>
      </c>
    </row>
    <row r="5" spans="1:40" x14ac:dyDescent="0.35">
      <c r="A5" s="31" t="s">
        <v>198</v>
      </c>
      <c r="B5" s="31"/>
      <c r="C5" s="31"/>
      <c r="D5" s="31" t="s">
        <v>200</v>
      </c>
      <c r="H5" s="11" t="s">
        <v>236</v>
      </c>
      <c r="V5" t="s">
        <v>271</v>
      </c>
      <c r="W5" s="1">
        <v>0.22500000000000001</v>
      </c>
      <c r="X5" t="s">
        <v>272</v>
      </c>
    </row>
    <row r="6" spans="1:40" x14ac:dyDescent="0.35">
      <c r="A6" s="31" t="s">
        <v>212</v>
      </c>
      <c r="B6" s="31"/>
      <c r="C6" s="31"/>
      <c r="D6" s="31" t="s">
        <v>199</v>
      </c>
      <c r="H6" s="11" t="s">
        <v>237</v>
      </c>
      <c r="V6" s="2" t="s">
        <v>267</v>
      </c>
      <c r="W6" s="2"/>
      <c r="X6" s="29" t="s">
        <v>268</v>
      </c>
      <c r="Y6" s="29"/>
    </row>
    <row r="7" spans="1:40" x14ac:dyDescent="0.35">
      <c r="A7" s="31" t="s">
        <v>213</v>
      </c>
      <c r="B7" s="31"/>
      <c r="C7" s="31"/>
      <c r="D7" t="s">
        <v>203</v>
      </c>
      <c r="H7" s="31" t="s">
        <v>257</v>
      </c>
      <c r="V7" s="49">
        <f>S19</f>
        <v>4.2160256410256398E-2</v>
      </c>
      <c r="W7" s="49">
        <f>S30</f>
        <v>4.4999999999999998E-2</v>
      </c>
      <c r="X7" s="49">
        <f>S24</f>
        <v>8.5000000000000006E-2</v>
      </c>
    </row>
    <row r="8" spans="1:40" x14ac:dyDescent="0.35">
      <c r="A8" s="31" t="s">
        <v>244</v>
      </c>
      <c r="B8" s="31"/>
      <c r="C8" s="31"/>
      <c r="D8" t="s">
        <v>243</v>
      </c>
      <c r="H8" s="48" t="s">
        <v>249</v>
      </c>
      <c r="V8" s="49">
        <f>S20</f>
        <v>4.7124183006535978E-3</v>
      </c>
      <c r="W8" s="49">
        <f>S31</f>
        <v>2.5999999999999999E-2</v>
      </c>
      <c r="X8" s="49">
        <f>S27</f>
        <v>3.5999999999999997E-2</v>
      </c>
    </row>
    <row r="9" spans="1:40" x14ac:dyDescent="0.35">
      <c r="A9" s="31" t="s">
        <v>246</v>
      </c>
      <c r="B9" s="31"/>
      <c r="C9" s="31"/>
      <c r="D9" t="s">
        <v>247</v>
      </c>
      <c r="H9" t="s">
        <v>250</v>
      </c>
      <c r="V9" s="49">
        <f>S23</f>
        <v>3.9291666666666641E-2</v>
      </c>
      <c r="W9" s="49">
        <f t="shared" ref="W9:W14" si="0">S34</f>
        <v>4.3999999999999997E-2</v>
      </c>
      <c r="X9" s="49">
        <f>S32</f>
        <v>0.129</v>
      </c>
    </row>
    <row r="10" spans="1:40" x14ac:dyDescent="0.35">
      <c r="A10" s="31" t="s">
        <v>248</v>
      </c>
      <c r="B10" s="31"/>
      <c r="C10" s="31"/>
      <c r="D10" t="s">
        <v>106</v>
      </c>
      <c r="H10" t="s">
        <v>251</v>
      </c>
      <c r="V10" s="49">
        <f>S22</f>
        <v>2.183464566929133E-2</v>
      </c>
      <c r="W10" s="49">
        <f t="shared" si="0"/>
        <v>0.06</v>
      </c>
    </row>
    <row r="11" spans="1:40" x14ac:dyDescent="0.35">
      <c r="A11" s="31" t="s">
        <v>214</v>
      </c>
      <c r="B11" s="31"/>
      <c r="C11" s="31"/>
      <c r="D11" t="s">
        <v>224</v>
      </c>
      <c r="H11" t="s">
        <v>273</v>
      </c>
      <c r="V11" s="49">
        <f>S25</f>
        <v>6.0999999999999999E-2</v>
      </c>
      <c r="W11" s="49">
        <f t="shared" si="0"/>
        <v>2.3E-2</v>
      </c>
    </row>
    <row r="12" spans="1:40" x14ac:dyDescent="0.35">
      <c r="A12" s="31"/>
      <c r="B12" s="31"/>
      <c r="C12" s="31"/>
      <c r="D12" t="s">
        <v>225</v>
      </c>
      <c r="H12" t="s">
        <v>274</v>
      </c>
      <c r="V12" s="49">
        <f>S28</f>
        <v>4.8000000000000001E-2</v>
      </c>
      <c r="W12" s="49">
        <f t="shared" si="0"/>
        <v>3.7999999999999999E-2</v>
      </c>
    </row>
    <row r="13" spans="1:40" x14ac:dyDescent="0.35">
      <c r="A13" s="31" t="s">
        <v>232</v>
      </c>
      <c r="B13" s="31"/>
      <c r="C13" s="31"/>
      <c r="D13" t="s">
        <v>233</v>
      </c>
      <c r="H13" t="s">
        <v>234</v>
      </c>
      <c r="W13" s="49">
        <f t="shared" si="0"/>
        <v>2.4E-2</v>
      </c>
      <c r="AD13" s="34" t="s">
        <v>262</v>
      </c>
      <c r="AE13" s="34"/>
      <c r="AF13" s="34"/>
      <c r="AG13" s="34"/>
    </row>
    <row r="14" spans="1:40" x14ac:dyDescent="0.35">
      <c r="A14" s="31"/>
      <c r="B14" s="31"/>
      <c r="C14" s="31"/>
      <c r="D14" t="s">
        <v>231</v>
      </c>
      <c r="H14" t="s">
        <v>238</v>
      </c>
      <c r="W14" s="49">
        <f t="shared" si="0"/>
        <v>4.2000000000000003E-2</v>
      </c>
      <c r="AD14" t="s">
        <v>259</v>
      </c>
      <c r="AE14">
        <v>293</v>
      </c>
      <c r="AF14" t="s">
        <v>260</v>
      </c>
    </row>
    <row r="15" spans="1:40" x14ac:dyDescent="0.35">
      <c r="A15" s="31"/>
      <c r="B15" s="31"/>
      <c r="C15" s="31"/>
    </row>
    <row r="16" spans="1:40" x14ac:dyDescent="0.35">
      <c r="A16" s="28" t="s">
        <v>131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51" t="s">
        <v>289</v>
      </c>
      <c r="N16" s="51"/>
      <c r="O16" s="51"/>
      <c r="P16" s="51"/>
      <c r="Q16" s="51"/>
      <c r="R16" s="51"/>
      <c r="S16" s="33" t="s">
        <v>132</v>
      </c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5" t="s">
        <v>133</v>
      </c>
      <c r="AK16" s="35"/>
      <c r="AL16" s="35"/>
      <c r="AM16" s="35"/>
      <c r="AN16" s="35"/>
    </row>
    <row r="17" spans="1:40" x14ac:dyDescent="0.35">
      <c r="A17" s="2"/>
      <c r="B17" s="2"/>
      <c r="C17" s="2"/>
      <c r="D17" s="29"/>
      <c r="E17" s="29"/>
      <c r="F17" s="29"/>
      <c r="G17" s="2"/>
      <c r="H17" s="29"/>
      <c r="I17" s="29"/>
      <c r="J17" s="29"/>
      <c r="K17" s="29"/>
      <c r="L17" s="29"/>
      <c r="M17" s="53" t="s">
        <v>290</v>
      </c>
      <c r="N17" s="53"/>
      <c r="O17" s="53"/>
      <c r="P17" s="53"/>
      <c r="Q17" s="53"/>
      <c r="R17" s="53"/>
      <c r="S17" s="3" t="s">
        <v>30</v>
      </c>
      <c r="T17" s="3"/>
      <c r="U17" s="3"/>
      <c r="V17" s="3"/>
      <c r="W17" s="3"/>
      <c r="X17" s="3"/>
      <c r="Y17" s="3"/>
      <c r="Z17" s="3"/>
      <c r="AA17" s="34" t="s">
        <v>31</v>
      </c>
      <c r="AB17" s="34"/>
      <c r="AC17" s="3" t="s">
        <v>32</v>
      </c>
      <c r="AD17" s="3"/>
      <c r="AE17" s="3"/>
      <c r="AF17" s="3"/>
      <c r="AG17" s="34" t="s">
        <v>33</v>
      </c>
      <c r="AH17" s="3" t="s">
        <v>34</v>
      </c>
      <c r="AI17" s="3"/>
      <c r="AJ17" s="7" t="s">
        <v>228</v>
      </c>
      <c r="AK17" s="7"/>
      <c r="AL17" s="7"/>
      <c r="AM17" s="15" t="s">
        <v>229</v>
      </c>
      <c r="AN17" s="15"/>
    </row>
    <row r="18" spans="1:40" x14ac:dyDescent="0.35">
      <c r="A18" s="2" t="s">
        <v>124</v>
      </c>
      <c r="B18" s="2" t="s">
        <v>298</v>
      </c>
      <c r="C18" s="2" t="s">
        <v>266</v>
      </c>
      <c r="D18" s="29" t="s">
        <v>138</v>
      </c>
      <c r="E18" s="29" t="s">
        <v>139</v>
      </c>
      <c r="F18" s="30" t="s">
        <v>126</v>
      </c>
      <c r="G18" s="2" t="s">
        <v>263</v>
      </c>
      <c r="H18" s="29" t="s">
        <v>161</v>
      </c>
      <c r="I18" s="29" t="s">
        <v>162</v>
      </c>
      <c r="J18" s="29" t="s">
        <v>192</v>
      </c>
      <c r="K18" s="29" t="s">
        <v>264</v>
      </c>
      <c r="L18" s="29" t="s">
        <v>265</v>
      </c>
      <c r="M18" s="53" t="s">
        <v>277</v>
      </c>
      <c r="N18" s="53" t="s">
        <v>276</v>
      </c>
      <c r="O18" s="53" t="s">
        <v>283</v>
      </c>
      <c r="P18" s="53" t="s">
        <v>278</v>
      </c>
      <c r="Q18" s="53" t="s">
        <v>288</v>
      </c>
      <c r="R18" s="53" t="s">
        <v>279</v>
      </c>
      <c r="S18" s="3" t="s">
        <v>312</v>
      </c>
      <c r="T18" s="3" t="s">
        <v>239</v>
      </c>
      <c r="U18" s="3" t="s">
        <v>313</v>
      </c>
      <c r="V18" s="3" t="s">
        <v>240</v>
      </c>
      <c r="W18" s="3" t="s">
        <v>314</v>
      </c>
      <c r="X18" s="3" t="s">
        <v>241</v>
      </c>
      <c r="Y18" s="3" t="s">
        <v>315</v>
      </c>
      <c r="Z18" s="3" t="s">
        <v>242</v>
      </c>
      <c r="AA18" s="34" t="s">
        <v>311</v>
      </c>
      <c r="AB18" s="34" t="s">
        <v>226</v>
      </c>
      <c r="AC18" s="3" t="s">
        <v>317</v>
      </c>
      <c r="AD18" s="3" t="s">
        <v>318</v>
      </c>
      <c r="AE18" s="3" t="s">
        <v>258</v>
      </c>
      <c r="AF18" s="3" t="s">
        <v>371</v>
      </c>
      <c r="AG18" s="34" t="s">
        <v>227</v>
      </c>
      <c r="AH18" s="3" t="s">
        <v>316</v>
      </c>
      <c r="AI18" s="3" t="s">
        <v>261</v>
      </c>
      <c r="AJ18" s="7" t="s">
        <v>211</v>
      </c>
      <c r="AK18" s="7" t="s">
        <v>125</v>
      </c>
      <c r="AL18" s="7" t="s">
        <v>134</v>
      </c>
      <c r="AM18" s="15" t="s">
        <v>135</v>
      </c>
      <c r="AN18" s="35" t="s">
        <v>378</v>
      </c>
    </row>
    <row r="19" spans="1:40" x14ac:dyDescent="0.35">
      <c r="A19" s="6" t="s">
        <v>307</v>
      </c>
      <c r="B19" s="6" t="s">
        <v>49</v>
      </c>
      <c r="C19" t="s">
        <v>376</v>
      </c>
      <c r="D19" s="25" t="s">
        <v>140</v>
      </c>
      <c r="E19" s="25" t="s">
        <v>363</v>
      </c>
      <c r="F19" s="5" t="s">
        <v>368</v>
      </c>
      <c r="G19" s="25" t="s">
        <v>127</v>
      </c>
      <c r="H19" s="25" t="s">
        <v>191</v>
      </c>
      <c r="I19" s="25" t="s">
        <v>191</v>
      </c>
      <c r="J19" s="25" t="s">
        <v>193</v>
      </c>
      <c r="K19" s="25" t="s">
        <v>196</v>
      </c>
      <c r="L19" s="25" t="s">
        <v>196</v>
      </c>
      <c r="M19" s="63">
        <v>0</v>
      </c>
      <c r="N19" s="63">
        <v>0</v>
      </c>
      <c r="O19" s="63" t="s">
        <v>284</v>
      </c>
      <c r="P19" s="63" t="s">
        <v>286</v>
      </c>
      <c r="Q19" s="63"/>
      <c r="R19" s="63" t="s">
        <v>287</v>
      </c>
      <c r="S19" s="36">
        <v>4.2160256410256398E-2</v>
      </c>
      <c r="T19" s="36">
        <v>8.3723791622844351E-3</v>
      </c>
      <c r="U19" s="36">
        <v>6.5789473684210538E-5</v>
      </c>
      <c r="V19" s="36">
        <v>3.93171055094293E-4</v>
      </c>
      <c r="W19" s="36">
        <v>0.60686708860759475</v>
      </c>
      <c r="X19" s="36">
        <v>5.2880160516775472E-3</v>
      </c>
      <c r="Y19" s="36">
        <v>2.5316455696202533E-5</v>
      </c>
      <c r="Z19" s="36">
        <v>2.510961215854518E-4</v>
      </c>
      <c r="AA19" s="32">
        <v>48.344999999999999</v>
      </c>
      <c r="AB19" s="32">
        <v>0.5</v>
      </c>
      <c r="AC19" s="45">
        <v>135.375</v>
      </c>
      <c r="AD19" t="s">
        <v>230</v>
      </c>
      <c r="AE19" s="45">
        <v>133</v>
      </c>
      <c r="AF19" s="43">
        <f>AE19/$AE$14</f>
        <v>0.4539249146757679</v>
      </c>
      <c r="AG19" s="41">
        <f>AVERAGE(223,225,220,218)</f>
        <v>221.5</v>
      </c>
      <c r="AH19" s="44">
        <v>18.983333333333299</v>
      </c>
      <c r="AI19" s="44">
        <v>30.324999999999999</v>
      </c>
      <c r="AJ19" t="str">
        <f t="shared" ref="AJ19:AJ39" si="1">"O5/"&amp;A19</f>
        <v>O5/M01</v>
      </c>
      <c r="AK19" s="25" t="s">
        <v>70</v>
      </c>
      <c r="AL19" t="s">
        <v>39</v>
      </c>
      <c r="AM19" t="s">
        <v>42</v>
      </c>
    </row>
    <row r="20" spans="1:40" s="23" customFormat="1" x14ac:dyDescent="0.35">
      <c r="A20" s="6" t="s">
        <v>308</v>
      </c>
      <c r="B20" s="6" t="s">
        <v>50</v>
      </c>
      <c r="C20" s="23" t="s">
        <v>376</v>
      </c>
      <c r="D20" s="37" t="s">
        <v>140</v>
      </c>
      <c r="E20" s="37" t="s">
        <v>363</v>
      </c>
      <c r="F20" s="27" t="s">
        <v>369</v>
      </c>
      <c r="G20" s="37" t="s">
        <v>128</v>
      </c>
      <c r="H20" s="37" t="s">
        <v>191</v>
      </c>
      <c r="I20" s="37" t="s">
        <v>191</v>
      </c>
      <c r="J20" s="37" t="s">
        <v>193</v>
      </c>
      <c r="K20" s="37" t="s">
        <v>197</v>
      </c>
      <c r="L20" s="37" t="s">
        <v>196</v>
      </c>
      <c r="M20" s="52">
        <v>0.1</v>
      </c>
      <c r="N20" s="52">
        <v>0</v>
      </c>
      <c r="O20" s="52" t="s">
        <v>284</v>
      </c>
      <c r="P20" s="52" t="s">
        <v>286</v>
      </c>
      <c r="Q20" s="52"/>
      <c r="R20" s="52" t="s">
        <v>287</v>
      </c>
      <c r="S20" s="54">
        <v>4.7124183006535978E-3</v>
      </c>
      <c r="T20" s="54">
        <v>6.4243299902692896E-3</v>
      </c>
      <c r="U20" s="54">
        <v>1.9607843137254909E-4</v>
      </c>
      <c r="V20" s="54">
        <v>5.2639318316419486E-4</v>
      </c>
      <c r="W20" s="54">
        <v>0.60547058823529343</v>
      </c>
      <c r="X20" s="54">
        <v>4.3529464061553428E-3</v>
      </c>
      <c r="Y20" s="54">
        <v>2.5032679738562109E-3</v>
      </c>
      <c r="Z20" s="54">
        <v>5.7496204687714598E-4</v>
      </c>
      <c r="AA20" s="38">
        <v>46.7</v>
      </c>
      <c r="AB20" s="38">
        <v>0.4</v>
      </c>
      <c r="AC20" s="47">
        <v>135.72500000000002</v>
      </c>
      <c r="AD20" s="23" t="s">
        <v>230</v>
      </c>
      <c r="AE20" s="47">
        <v>137.31700000000001</v>
      </c>
      <c r="AF20" s="55">
        <f t="shared" ref="AF20:AF39" si="2">AE20/$AE$14</f>
        <v>0.4686587030716724</v>
      </c>
      <c r="AG20" s="42">
        <f>AVERAGE(284,281)</f>
        <v>282.5</v>
      </c>
      <c r="AH20" s="46">
        <v>21.9</v>
      </c>
      <c r="AI20" s="46">
        <v>37.049999999999997</v>
      </c>
      <c r="AJ20" s="23" t="str">
        <f t="shared" si="1"/>
        <v>O5/M02</v>
      </c>
      <c r="AK20" s="37" t="s">
        <v>71</v>
      </c>
      <c r="AL20" s="23" t="s">
        <v>41</v>
      </c>
      <c r="AM20" s="23" t="s">
        <v>42</v>
      </c>
    </row>
    <row r="21" spans="1:40" s="23" customFormat="1" x14ac:dyDescent="0.35">
      <c r="A21" s="69" t="s">
        <v>309</v>
      </c>
      <c r="B21" s="69" t="s">
        <v>52</v>
      </c>
      <c r="C21" s="23" t="s">
        <v>376</v>
      </c>
      <c r="D21" s="37" t="s">
        <v>140</v>
      </c>
      <c r="E21" s="37" t="s">
        <v>363</v>
      </c>
      <c r="F21" s="27" t="s">
        <v>364</v>
      </c>
      <c r="G21" s="37" t="s">
        <v>130</v>
      </c>
      <c r="H21" s="37" t="s">
        <v>191</v>
      </c>
      <c r="I21" s="37" t="s">
        <v>191</v>
      </c>
      <c r="J21" s="37" t="s">
        <v>193</v>
      </c>
      <c r="K21" s="37" t="s">
        <v>197</v>
      </c>
      <c r="L21" s="37" t="s">
        <v>197</v>
      </c>
      <c r="M21" s="52">
        <v>0.1</v>
      </c>
      <c r="N21" s="52">
        <v>50</v>
      </c>
      <c r="O21" s="52" t="s">
        <v>284</v>
      </c>
      <c r="P21" s="52" t="s">
        <v>282</v>
      </c>
      <c r="Q21" s="52"/>
      <c r="R21" s="52" t="s">
        <v>287</v>
      </c>
      <c r="S21" s="57">
        <f>S22/2+0.003</f>
        <v>1.3917322834645664E-2</v>
      </c>
      <c r="T21" s="57">
        <f>T22</f>
        <v>1.7243707745664725E-2</v>
      </c>
      <c r="U21" s="57">
        <f>U22/2</f>
        <v>1.3312030075187959E-2</v>
      </c>
      <c r="V21" s="57">
        <f>V22</f>
        <v>1.9211798133288809E-3</v>
      </c>
      <c r="W21" s="57">
        <f>W22+0.001</f>
        <v>0.58461654135338337</v>
      </c>
      <c r="X21" s="57">
        <f>X22</f>
        <v>5.5346317450397035E-3</v>
      </c>
      <c r="Y21" s="57">
        <f>Y22</f>
        <v>0</v>
      </c>
      <c r="Z21" s="57">
        <f>Z22</f>
        <v>0</v>
      </c>
      <c r="AA21" s="38">
        <v>44.086365657154417</v>
      </c>
      <c r="AB21" s="38">
        <v>1.4348455735573353</v>
      </c>
      <c r="AC21" s="58">
        <f>AC22</f>
        <v>134.4</v>
      </c>
      <c r="AD21" s="59" t="str">
        <f>AD22</f>
        <v>NaN</v>
      </c>
      <c r="AE21" s="60">
        <f>AE22+2</f>
        <v>125.572</v>
      </c>
      <c r="AF21" s="55">
        <f t="shared" si="2"/>
        <v>0.42857337883959046</v>
      </c>
      <c r="AG21" s="56">
        <f>AVERAGE(269)</f>
        <v>269</v>
      </c>
      <c r="AH21" s="61">
        <f>AH22*1.8</f>
        <v>5.9399999999999995</v>
      </c>
      <c r="AI21" s="61">
        <f>AI22*1.5</f>
        <v>0.44999999999999996</v>
      </c>
      <c r="AJ21" s="23" t="str">
        <f t="shared" si="1"/>
        <v>O5/M03</v>
      </c>
      <c r="AK21" s="37" t="s">
        <v>29</v>
      </c>
      <c r="AL21" s="22" t="s">
        <v>29</v>
      </c>
      <c r="AM21" s="22" t="s">
        <v>106</v>
      </c>
      <c r="AN21" s="22"/>
    </row>
    <row r="22" spans="1:40" s="23" customFormat="1" x14ac:dyDescent="0.35">
      <c r="A22" s="13" t="s">
        <v>310</v>
      </c>
      <c r="B22" s="13" t="s">
        <v>53</v>
      </c>
      <c r="C22" s="23" t="s">
        <v>376</v>
      </c>
      <c r="D22" s="37" t="s">
        <v>140</v>
      </c>
      <c r="E22" s="37" t="s">
        <v>363</v>
      </c>
      <c r="F22" s="27" t="s">
        <v>365</v>
      </c>
      <c r="G22" s="23" t="s">
        <v>129</v>
      </c>
      <c r="H22" s="37" t="s">
        <v>191</v>
      </c>
      <c r="I22" s="37" t="s">
        <v>191</v>
      </c>
      <c r="J22" s="37" t="s">
        <v>193</v>
      </c>
      <c r="K22" s="37" t="s">
        <v>197</v>
      </c>
      <c r="L22" s="37" t="s">
        <v>197</v>
      </c>
      <c r="M22" s="52">
        <v>0.1</v>
      </c>
      <c r="N22" s="52">
        <v>100</v>
      </c>
      <c r="O22" s="52" t="s">
        <v>284</v>
      </c>
      <c r="P22" s="52" t="s">
        <v>282</v>
      </c>
      <c r="Q22" s="52"/>
      <c r="R22" s="52" t="s">
        <v>287</v>
      </c>
      <c r="S22" s="54">
        <v>2.183464566929133E-2</v>
      </c>
      <c r="T22" s="54">
        <v>1.7243707745664725E-2</v>
      </c>
      <c r="U22" s="54">
        <v>2.6624060150375918E-2</v>
      </c>
      <c r="V22" s="54">
        <v>1.9211798133288809E-3</v>
      </c>
      <c r="W22" s="54">
        <v>0.58361654135338337</v>
      </c>
      <c r="X22" s="54">
        <v>5.5346317450397035E-3</v>
      </c>
      <c r="Y22" s="54">
        <v>0</v>
      </c>
      <c r="Z22" s="54">
        <v>0</v>
      </c>
      <c r="AA22" s="38">
        <v>43.349999999999994</v>
      </c>
      <c r="AB22" s="38">
        <v>0.4</v>
      </c>
      <c r="AC22" s="47">
        <v>134.4</v>
      </c>
      <c r="AD22" s="23" t="s">
        <v>230</v>
      </c>
      <c r="AE22" s="47">
        <v>123.572</v>
      </c>
      <c r="AF22" s="55">
        <f t="shared" si="2"/>
        <v>0.42174744027303757</v>
      </c>
      <c r="AG22" s="42">
        <f>AVERAGE(261,257,256)</f>
        <v>258</v>
      </c>
      <c r="AH22" s="46">
        <v>3.3</v>
      </c>
      <c r="AI22" s="46">
        <v>0.3</v>
      </c>
      <c r="AJ22" s="23" t="str">
        <f t="shared" si="1"/>
        <v>O5/M04</v>
      </c>
      <c r="AK22" s="37" t="s">
        <v>72</v>
      </c>
      <c r="AL22" s="23" t="s">
        <v>43</v>
      </c>
      <c r="AM22" s="23" t="s">
        <v>253</v>
      </c>
    </row>
    <row r="23" spans="1:40" s="23" customFormat="1" x14ac:dyDescent="0.35">
      <c r="A23" s="70" t="s">
        <v>54</v>
      </c>
      <c r="B23" s="70" t="s">
        <v>51</v>
      </c>
      <c r="C23" t="s">
        <v>377</v>
      </c>
      <c r="D23" s="37" t="s">
        <v>140</v>
      </c>
      <c r="E23" s="37" t="s">
        <v>140</v>
      </c>
      <c r="F23" s="27" t="s">
        <v>136</v>
      </c>
      <c r="G23" s="37" t="s">
        <v>137</v>
      </c>
      <c r="H23" s="37" t="s">
        <v>191</v>
      </c>
      <c r="I23" s="37" t="s">
        <v>191</v>
      </c>
      <c r="J23" s="37" t="s">
        <v>193</v>
      </c>
      <c r="K23" s="37" t="s">
        <v>196</v>
      </c>
      <c r="L23" s="37" t="s">
        <v>197</v>
      </c>
      <c r="M23" s="52">
        <v>0</v>
      </c>
      <c r="N23" s="52">
        <v>75</v>
      </c>
      <c r="O23" s="52" t="s">
        <v>284</v>
      </c>
      <c r="P23" s="52" t="s">
        <v>282</v>
      </c>
      <c r="Q23" s="52"/>
      <c r="R23" s="52" t="s">
        <v>287</v>
      </c>
      <c r="S23" s="39">
        <v>3.9291666666666641E-2</v>
      </c>
      <c r="T23" s="39">
        <v>9.4889669067685298E-3</v>
      </c>
      <c r="U23" s="39">
        <v>2.0750000000000001E-2</v>
      </c>
      <c r="V23" s="39">
        <v>1.7012836909766392E-3</v>
      </c>
      <c r="W23" s="39">
        <v>0.57051388888888888</v>
      </c>
      <c r="X23" s="39">
        <v>4.992933190684141E-3</v>
      </c>
      <c r="Y23" s="39">
        <v>0</v>
      </c>
      <c r="Z23" s="39">
        <v>0</v>
      </c>
      <c r="AA23" s="38">
        <v>43.4</v>
      </c>
      <c r="AB23" s="38">
        <v>0.3</v>
      </c>
      <c r="AC23" s="47">
        <v>135</v>
      </c>
      <c r="AD23" t="s">
        <v>230</v>
      </c>
      <c r="AE23" s="45">
        <v>115</v>
      </c>
      <c r="AF23" s="43">
        <f>AE23/$AE$14</f>
        <v>0.39249146757679182</v>
      </c>
      <c r="AG23" s="42">
        <f>AVERAGE(224,219,215)</f>
        <v>219.33333333333334</v>
      </c>
      <c r="AH23" s="46" t="s">
        <v>230</v>
      </c>
      <c r="AI23" s="46" t="s">
        <v>230</v>
      </c>
      <c r="AJ23" s="23" t="str">
        <f>"O5/"&amp;A23</f>
        <v>O5/K01</v>
      </c>
      <c r="AK23" s="37" t="s">
        <v>245</v>
      </c>
      <c r="AL23" s="23" t="s">
        <v>28</v>
      </c>
      <c r="AM23" s="23" t="s">
        <v>68</v>
      </c>
      <c r="AN23" s="40" t="s">
        <v>254</v>
      </c>
    </row>
    <row r="24" spans="1:40" x14ac:dyDescent="0.35">
      <c r="A24" t="s">
        <v>55</v>
      </c>
      <c r="B24" t="s">
        <v>54</v>
      </c>
      <c r="C24" t="s">
        <v>377</v>
      </c>
      <c r="D24" s="26" t="s">
        <v>141</v>
      </c>
      <c r="E24" s="26" t="s">
        <v>142</v>
      </c>
      <c r="F24" s="27" t="s">
        <v>108</v>
      </c>
      <c r="G24" s="25" t="s">
        <v>216</v>
      </c>
      <c r="H24" s="26" t="s">
        <v>163</v>
      </c>
      <c r="I24" s="26" t="s">
        <v>164</v>
      </c>
      <c r="J24" s="26" t="s">
        <v>195</v>
      </c>
      <c r="K24" s="26" t="s">
        <v>196</v>
      </c>
      <c r="L24" s="26" t="s">
        <v>196</v>
      </c>
      <c r="M24" s="26">
        <v>0</v>
      </c>
      <c r="N24" s="26"/>
      <c r="O24" s="26"/>
      <c r="P24" s="26"/>
      <c r="Q24" s="26"/>
      <c r="R24" s="64"/>
      <c r="S24" s="36">
        <v>8.5000000000000006E-2</v>
      </c>
      <c r="T24" s="36">
        <v>1.4999999999999999E-2</v>
      </c>
      <c r="U24" s="36">
        <v>1.2E-2</v>
      </c>
      <c r="V24" s="36">
        <v>5.0000000000000001E-3</v>
      </c>
      <c r="W24" s="36">
        <v>0.625</v>
      </c>
      <c r="X24" s="36">
        <v>8.0000000000000002E-3</v>
      </c>
      <c r="Y24" s="36">
        <v>0</v>
      </c>
      <c r="Z24" s="36">
        <v>0</v>
      </c>
      <c r="AA24">
        <v>50.4</v>
      </c>
      <c r="AB24">
        <v>0.6</v>
      </c>
      <c r="AC24" s="45">
        <v>140</v>
      </c>
      <c r="AD24" t="s">
        <v>230</v>
      </c>
      <c r="AE24" s="45">
        <v>156</v>
      </c>
      <c r="AF24" s="43">
        <f t="shared" si="2"/>
        <v>0.53242320819112632</v>
      </c>
      <c r="AG24" s="41">
        <v>203</v>
      </c>
      <c r="AH24" t="s">
        <v>230</v>
      </c>
      <c r="AI24" t="s">
        <v>230</v>
      </c>
      <c r="AJ24" t="str">
        <f t="shared" si="1"/>
        <v>O5/K02</v>
      </c>
      <c r="AK24" t="s">
        <v>74</v>
      </c>
      <c r="AL24" t="str">
        <f>AK24</f>
        <v>O5/K01</v>
      </c>
      <c r="AM24" t="s">
        <v>256</v>
      </c>
    </row>
    <row r="25" spans="1:40" s="23" customFormat="1" x14ac:dyDescent="0.35">
      <c r="A25" s="23" t="s">
        <v>56</v>
      </c>
      <c r="B25" s="23" t="s">
        <v>55</v>
      </c>
      <c r="C25" t="s">
        <v>377</v>
      </c>
      <c r="D25" s="26" t="s">
        <v>141</v>
      </c>
      <c r="E25" s="26" t="s">
        <v>142</v>
      </c>
      <c r="F25" s="27" t="s">
        <v>109</v>
      </c>
      <c r="G25" s="26" t="s">
        <v>204</v>
      </c>
      <c r="H25" s="26" t="s">
        <v>165</v>
      </c>
      <c r="I25" s="26" t="s">
        <v>166</v>
      </c>
      <c r="J25" s="26" t="s">
        <v>372</v>
      </c>
      <c r="K25" s="52" t="s">
        <v>373</v>
      </c>
      <c r="L25" s="26" t="s">
        <v>197</v>
      </c>
      <c r="M25" s="62">
        <v>0.1</v>
      </c>
      <c r="N25" s="52">
        <v>80</v>
      </c>
      <c r="O25" s="52"/>
      <c r="P25" s="71" t="s">
        <v>286</v>
      </c>
      <c r="Q25" s="52"/>
      <c r="R25" s="64" t="s">
        <v>306</v>
      </c>
      <c r="S25" s="54">
        <v>6.0999999999999999E-2</v>
      </c>
      <c r="T25" s="54">
        <v>2.1000000000000001E-2</v>
      </c>
      <c r="U25" s="54">
        <v>0.05</v>
      </c>
      <c r="V25" s="54">
        <v>6.0000000000000001E-3</v>
      </c>
      <c r="W25" s="54">
        <v>0.62</v>
      </c>
      <c r="X25" s="54">
        <v>8.9999999999999993E-3</v>
      </c>
      <c r="Y25" s="54">
        <v>0</v>
      </c>
      <c r="Z25" s="54">
        <v>0</v>
      </c>
      <c r="AA25" s="23">
        <v>47.6</v>
      </c>
      <c r="AB25" s="23">
        <v>0.6</v>
      </c>
      <c r="AC25" s="47">
        <v>145</v>
      </c>
      <c r="AD25" s="23">
        <v>129</v>
      </c>
      <c r="AE25" s="23">
        <v>147</v>
      </c>
      <c r="AF25" s="55">
        <f t="shared" si="2"/>
        <v>0.50170648464163825</v>
      </c>
      <c r="AG25" s="42">
        <v>237</v>
      </c>
      <c r="AH25" s="23" t="s">
        <v>230</v>
      </c>
      <c r="AI25" s="23" t="s">
        <v>230</v>
      </c>
      <c r="AJ25" s="23" t="str">
        <f t="shared" si="1"/>
        <v>O5/K03</v>
      </c>
      <c r="AK25" s="23" t="s">
        <v>75</v>
      </c>
      <c r="AL25" s="23" t="str">
        <f t="shared" ref="AL25:AL39" si="3">AK25</f>
        <v>O5/K02</v>
      </c>
      <c r="AM25" s="23" t="s">
        <v>256</v>
      </c>
    </row>
    <row r="26" spans="1:40" x14ac:dyDescent="0.35">
      <c r="A26" t="s">
        <v>57</v>
      </c>
      <c r="B26" t="s">
        <v>56</v>
      </c>
      <c r="C26" t="s">
        <v>377</v>
      </c>
      <c r="D26" s="26" t="s">
        <v>143</v>
      </c>
      <c r="E26" s="26" t="s">
        <v>144</v>
      </c>
      <c r="F26" s="27" t="s">
        <v>110</v>
      </c>
      <c r="G26" s="26" t="s">
        <v>217</v>
      </c>
      <c r="H26" s="26" t="s">
        <v>167</v>
      </c>
      <c r="I26" s="26" t="s">
        <v>168</v>
      </c>
      <c r="J26" s="26" t="s">
        <v>194</v>
      </c>
      <c r="K26" s="26" t="s">
        <v>196</v>
      </c>
      <c r="L26" s="26" t="s">
        <v>197</v>
      </c>
      <c r="M26" s="26">
        <v>0</v>
      </c>
      <c r="N26" s="52">
        <v>50</v>
      </c>
      <c r="O26" s="52"/>
      <c r="P26" s="52" t="s">
        <v>280</v>
      </c>
      <c r="Q26" s="52"/>
      <c r="R26" s="64" t="s">
        <v>292</v>
      </c>
      <c r="S26" s="36">
        <v>2.1999999999999999E-2</v>
      </c>
      <c r="T26" s="36">
        <v>1.4E-2</v>
      </c>
      <c r="U26" s="36">
        <v>2.1000000000000001E-2</v>
      </c>
      <c r="V26" s="36">
        <v>5.0000000000000001E-3</v>
      </c>
      <c r="W26" s="36">
        <v>0.61899999999999999</v>
      </c>
      <c r="X26" s="36">
        <v>8.0000000000000002E-3</v>
      </c>
      <c r="Y26" s="36">
        <v>0</v>
      </c>
      <c r="Z26" s="36">
        <v>0</v>
      </c>
      <c r="AA26">
        <v>49.2</v>
      </c>
      <c r="AB26">
        <v>0.5</v>
      </c>
      <c r="AC26">
        <v>145</v>
      </c>
      <c r="AD26" t="s">
        <v>230</v>
      </c>
      <c r="AE26">
        <v>147</v>
      </c>
      <c r="AF26" s="43">
        <f t="shared" si="2"/>
        <v>0.50170648464163825</v>
      </c>
      <c r="AG26" s="41">
        <v>214</v>
      </c>
      <c r="AH26" t="s">
        <v>230</v>
      </c>
      <c r="AI26" t="s">
        <v>230</v>
      </c>
      <c r="AJ26" t="str">
        <f t="shared" si="1"/>
        <v>O5/K04</v>
      </c>
      <c r="AK26" t="s">
        <v>76</v>
      </c>
      <c r="AL26" t="str">
        <f t="shared" si="3"/>
        <v>O5/K03</v>
      </c>
      <c r="AM26" t="s">
        <v>256</v>
      </c>
    </row>
    <row r="27" spans="1:40" s="23" customFormat="1" x14ac:dyDescent="0.35">
      <c r="A27" s="23" t="s">
        <v>58</v>
      </c>
      <c r="B27" s="23" t="s">
        <v>57</v>
      </c>
      <c r="C27" t="s">
        <v>377</v>
      </c>
      <c r="D27" s="26" t="s">
        <v>143</v>
      </c>
      <c r="E27" s="26" t="s">
        <v>144</v>
      </c>
      <c r="F27" s="27" t="s">
        <v>111</v>
      </c>
      <c r="G27" s="26" t="s">
        <v>218</v>
      </c>
      <c r="H27" s="26" t="s">
        <v>169</v>
      </c>
      <c r="I27" s="26" t="s">
        <v>168</v>
      </c>
      <c r="J27" s="26" t="s">
        <v>195</v>
      </c>
      <c r="K27" s="26" t="s">
        <v>374</v>
      </c>
      <c r="L27" s="52" t="s">
        <v>197</v>
      </c>
      <c r="M27" s="26" t="s">
        <v>230</v>
      </c>
      <c r="N27" s="52">
        <v>100</v>
      </c>
      <c r="O27" s="52"/>
      <c r="P27" s="52" t="s">
        <v>280</v>
      </c>
      <c r="Q27" s="52"/>
      <c r="R27" s="65" t="s">
        <v>293</v>
      </c>
      <c r="S27" s="54">
        <v>3.5999999999999997E-2</v>
      </c>
      <c r="T27" s="54">
        <v>1.4E-2</v>
      </c>
      <c r="U27" s="54">
        <v>4.2000000000000003E-2</v>
      </c>
      <c r="V27" s="54">
        <v>5.0000000000000001E-3</v>
      </c>
      <c r="W27" s="54">
        <v>0.63700000000000001</v>
      </c>
      <c r="X27" s="54">
        <v>0.01</v>
      </c>
      <c r="Y27" s="54">
        <v>3.1E-2</v>
      </c>
      <c r="Z27" s="54">
        <v>6.0000000000000001E-3</v>
      </c>
      <c r="AA27" s="23">
        <v>46.7</v>
      </c>
      <c r="AB27" s="23">
        <v>0.8</v>
      </c>
      <c r="AC27" s="23">
        <v>142</v>
      </c>
      <c r="AD27" s="23" t="s">
        <v>230</v>
      </c>
      <c r="AE27" s="23">
        <v>155</v>
      </c>
      <c r="AF27" s="55">
        <f t="shared" si="2"/>
        <v>0.52901023890784982</v>
      </c>
      <c r="AG27" s="77">
        <v>230</v>
      </c>
      <c r="AH27" s="23" t="s">
        <v>230</v>
      </c>
      <c r="AI27" s="23" t="s">
        <v>230</v>
      </c>
      <c r="AJ27" s="23" t="str">
        <f t="shared" si="1"/>
        <v>O5/K05</v>
      </c>
      <c r="AK27" s="23" t="s">
        <v>77</v>
      </c>
      <c r="AL27" s="23" t="str">
        <f t="shared" si="3"/>
        <v>O5/K04</v>
      </c>
      <c r="AM27" s="23" t="s">
        <v>256</v>
      </c>
    </row>
    <row r="28" spans="1:40" x14ac:dyDescent="0.35">
      <c r="A28" t="s">
        <v>59</v>
      </c>
      <c r="B28" t="s">
        <v>58</v>
      </c>
      <c r="C28" t="s">
        <v>377</v>
      </c>
      <c r="D28" s="26" t="s">
        <v>145</v>
      </c>
      <c r="E28" s="26" t="s">
        <v>146</v>
      </c>
      <c r="F28" s="27" t="s">
        <v>112</v>
      </c>
      <c r="G28" s="26" t="s">
        <v>219</v>
      </c>
      <c r="H28" s="26">
        <v>2233652</v>
      </c>
      <c r="I28" s="26" t="s">
        <v>170</v>
      </c>
      <c r="J28" s="26" t="s">
        <v>193</v>
      </c>
      <c r="K28" s="26" t="s">
        <v>196</v>
      </c>
      <c r="L28" s="26" t="s">
        <v>197</v>
      </c>
      <c r="M28" s="26">
        <v>0</v>
      </c>
      <c r="N28" s="26"/>
      <c r="O28" s="52"/>
      <c r="P28" s="52"/>
      <c r="Q28" s="52"/>
      <c r="R28" s="66"/>
      <c r="S28" s="36">
        <v>4.8000000000000001E-2</v>
      </c>
      <c r="T28" s="36">
        <v>1.0999999999999999E-2</v>
      </c>
      <c r="U28" s="36">
        <v>2.1000000000000001E-2</v>
      </c>
      <c r="V28" s="36">
        <v>5.0000000000000001E-3</v>
      </c>
      <c r="W28" s="36">
        <v>0.57899999999999996</v>
      </c>
      <c r="X28" s="36">
        <v>0.01</v>
      </c>
      <c r="Y28" s="36">
        <v>0</v>
      </c>
      <c r="Z28" s="36">
        <v>0</v>
      </c>
      <c r="AA28">
        <v>44.1</v>
      </c>
      <c r="AB28">
        <v>0.4</v>
      </c>
      <c r="AC28">
        <v>135</v>
      </c>
      <c r="AD28" t="s">
        <v>230</v>
      </c>
      <c r="AE28">
        <v>135</v>
      </c>
      <c r="AF28" s="43">
        <f t="shared" si="2"/>
        <v>0.46075085324232085</v>
      </c>
      <c r="AG28" s="41">
        <v>213</v>
      </c>
      <c r="AH28" t="s">
        <v>230</v>
      </c>
      <c r="AI28" t="s">
        <v>230</v>
      </c>
      <c r="AJ28" t="str">
        <f t="shared" si="1"/>
        <v>O5/K06</v>
      </c>
      <c r="AK28" t="s">
        <v>78</v>
      </c>
      <c r="AL28" t="str">
        <f t="shared" si="3"/>
        <v>O5/K05</v>
      </c>
      <c r="AM28" t="s">
        <v>256</v>
      </c>
    </row>
    <row r="29" spans="1:40" x14ac:dyDescent="0.35">
      <c r="A29" s="23" t="s">
        <v>60</v>
      </c>
      <c r="B29" t="s">
        <v>59</v>
      </c>
      <c r="C29" t="s">
        <v>377</v>
      </c>
      <c r="D29" s="26" t="s">
        <v>147</v>
      </c>
      <c r="E29" s="26" t="s">
        <v>148</v>
      </c>
      <c r="F29" s="27" t="s">
        <v>123</v>
      </c>
      <c r="G29" s="26" t="s">
        <v>205</v>
      </c>
      <c r="H29" s="26" t="s">
        <v>171</v>
      </c>
      <c r="I29" s="26" t="s">
        <v>168</v>
      </c>
      <c r="J29" s="26" t="s">
        <v>194</v>
      </c>
      <c r="K29" s="26" t="s">
        <v>196</v>
      </c>
      <c r="L29" s="52" t="s">
        <v>197</v>
      </c>
      <c r="M29" s="26">
        <v>0</v>
      </c>
      <c r="N29" s="52">
        <v>50</v>
      </c>
      <c r="O29" s="52" t="s">
        <v>284</v>
      </c>
      <c r="P29" s="52" t="s">
        <v>280</v>
      </c>
      <c r="Q29" s="52" t="s">
        <v>281</v>
      </c>
      <c r="R29" s="68" t="s">
        <v>294</v>
      </c>
      <c r="S29" s="36">
        <v>3.1E-2</v>
      </c>
      <c r="T29" s="36">
        <v>8.9999999999999993E-3</v>
      </c>
      <c r="U29" s="36">
        <v>1.7000000000000001E-2</v>
      </c>
      <c r="V29" s="36">
        <v>4.0000000000000001E-3</v>
      </c>
      <c r="W29" s="36">
        <v>0.55700000000000005</v>
      </c>
      <c r="X29" s="36">
        <v>8.0000000000000002E-3</v>
      </c>
      <c r="Y29" s="36">
        <v>0</v>
      </c>
      <c r="Z29" s="36">
        <v>0</v>
      </c>
      <c r="AA29">
        <v>40.200000000000003</v>
      </c>
      <c r="AB29">
        <v>0.6</v>
      </c>
      <c r="AC29">
        <v>136</v>
      </c>
      <c r="AD29" t="s">
        <v>230</v>
      </c>
      <c r="AE29">
        <v>132</v>
      </c>
      <c r="AF29" s="43">
        <f t="shared" si="2"/>
        <v>0.45051194539249145</v>
      </c>
      <c r="AG29" s="41">
        <v>209</v>
      </c>
      <c r="AH29" t="s">
        <v>230</v>
      </c>
      <c r="AI29" t="s">
        <v>230</v>
      </c>
      <c r="AJ29" t="str">
        <f t="shared" si="1"/>
        <v>O5/K07</v>
      </c>
      <c r="AK29" t="s">
        <v>79</v>
      </c>
      <c r="AL29" t="str">
        <f t="shared" si="3"/>
        <v>O5/K06</v>
      </c>
      <c r="AM29" t="s">
        <v>256</v>
      </c>
    </row>
    <row r="30" spans="1:40" x14ac:dyDescent="0.35">
      <c r="A30" t="s">
        <v>61</v>
      </c>
      <c r="B30" t="s">
        <v>60</v>
      </c>
      <c r="C30" t="s">
        <v>377</v>
      </c>
      <c r="D30" s="26" t="s">
        <v>149</v>
      </c>
      <c r="E30" s="26" t="s">
        <v>150</v>
      </c>
      <c r="F30" s="27" t="s">
        <v>113</v>
      </c>
      <c r="G30" s="26" t="s">
        <v>206</v>
      </c>
      <c r="H30" s="26" t="s">
        <v>172</v>
      </c>
      <c r="I30" s="26" t="s">
        <v>173</v>
      </c>
      <c r="J30" s="26" t="s">
        <v>193</v>
      </c>
      <c r="K30" s="26" t="s">
        <v>196</v>
      </c>
      <c r="L30" s="26" t="s">
        <v>197</v>
      </c>
      <c r="M30" s="26">
        <v>0</v>
      </c>
      <c r="N30" s="26"/>
      <c r="O30" s="52"/>
      <c r="P30" s="52"/>
      <c r="Q30" s="52"/>
      <c r="R30" s="64"/>
      <c r="S30" s="36">
        <v>4.4999999999999998E-2</v>
      </c>
      <c r="T30" s="36">
        <v>1.4999999999999999E-2</v>
      </c>
      <c r="U30" s="36">
        <v>2.8000000000000001E-2</v>
      </c>
      <c r="V30" s="36">
        <v>4.0000000000000001E-3</v>
      </c>
      <c r="W30" s="36">
        <v>0.55300000000000005</v>
      </c>
      <c r="X30" s="36">
        <v>8.9999999999999993E-3</v>
      </c>
      <c r="Y30" s="36">
        <v>0</v>
      </c>
      <c r="Z30" s="36">
        <v>0</v>
      </c>
      <c r="AA30">
        <v>41.2</v>
      </c>
      <c r="AB30">
        <v>0.5</v>
      </c>
      <c r="AC30">
        <v>137</v>
      </c>
      <c r="AD30" t="s">
        <v>230</v>
      </c>
      <c r="AE30">
        <v>129</v>
      </c>
      <c r="AF30" s="43">
        <f t="shared" si="2"/>
        <v>0.44027303754266212</v>
      </c>
      <c r="AG30" s="41">
        <v>208</v>
      </c>
      <c r="AH30" t="s">
        <v>230</v>
      </c>
      <c r="AI30" t="s">
        <v>230</v>
      </c>
      <c r="AJ30" t="str">
        <f t="shared" si="1"/>
        <v>O5/K08</v>
      </c>
      <c r="AK30" t="s">
        <v>80</v>
      </c>
      <c r="AL30" t="str">
        <f t="shared" si="3"/>
        <v>O5/K07</v>
      </c>
      <c r="AM30" t="s">
        <v>256</v>
      </c>
    </row>
    <row r="31" spans="1:40" x14ac:dyDescent="0.35">
      <c r="A31" s="23" t="s">
        <v>62</v>
      </c>
      <c r="B31" t="s">
        <v>61</v>
      </c>
      <c r="C31" t="s">
        <v>377</v>
      </c>
      <c r="D31" s="26" t="s">
        <v>151</v>
      </c>
      <c r="E31" s="26" t="s">
        <v>152</v>
      </c>
      <c r="F31" s="27" t="s">
        <v>114</v>
      </c>
      <c r="G31" s="26" t="s">
        <v>207</v>
      </c>
      <c r="H31" s="26" t="s">
        <v>174</v>
      </c>
      <c r="I31" s="26" t="s">
        <v>175</v>
      </c>
      <c r="J31" s="26" t="s">
        <v>193</v>
      </c>
      <c r="K31" s="26" t="s">
        <v>196</v>
      </c>
      <c r="L31" s="26" t="s">
        <v>197</v>
      </c>
      <c r="M31" s="26">
        <v>0</v>
      </c>
      <c r="N31" s="26"/>
      <c r="O31" s="52"/>
      <c r="P31" s="52"/>
      <c r="Q31" s="52"/>
      <c r="R31" s="67"/>
      <c r="S31" s="36">
        <v>2.5999999999999999E-2</v>
      </c>
      <c r="T31" s="36">
        <v>1.9E-2</v>
      </c>
      <c r="U31" s="36">
        <v>2.3E-2</v>
      </c>
      <c r="V31" s="36">
        <v>4.0000000000000001E-3</v>
      </c>
      <c r="W31" s="36">
        <v>0.57599999999999996</v>
      </c>
      <c r="X31" s="36">
        <v>8.0000000000000002E-3</v>
      </c>
      <c r="Y31" s="36">
        <v>0</v>
      </c>
      <c r="Z31" s="36">
        <v>0</v>
      </c>
      <c r="AA31">
        <v>43.4</v>
      </c>
      <c r="AB31">
        <v>0.3</v>
      </c>
      <c r="AC31">
        <v>140</v>
      </c>
      <c r="AD31" t="s">
        <v>230</v>
      </c>
      <c r="AE31">
        <v>137</v>
      </c>
      <c r="AF31" s="43">
        <f t="shared" si="2"/>
        <v>0.46757679180887374</v>
      </c>
      <c r="AG31" s="41">
        <v>213</v>
      </c>
      <c r="AH31" t="s">
        <v>230</v>
      </c>
      <c r="AI31" t="s">
        <v>230</v>
      </c>
      <c r="AJ31" t="str">
        <f t="shared" si="1"/>
        <v>O5/K09</v>
      </c>
      <c r="AK31" t="s">
        <v>81</v>
      </c>
      <c r="AL31" t="str">
        <f t="shared" si="3"/>
        <v>O5/K08</v>
      </c>
      <c r="AM31" t="s">
        <v>256</v>
      </c>
    </row>
    <row r="32" spans="1:40" x14ac:dyDescent="0.35">
      <c r="A32" t="s">
        <v>5</v>
      </c>
      <c r="B32" t="s">
        <v>62</v>
      </c>
      <c r="C32" t="s">
        <v>377</v>
      </c>
      <c r="D32" s="26" t="s">
        <v>153</v>
      </c>
      <c r="E32" s="26" t="s">
        <v>154</v>
      </c>
      <c r="F32" s="27" t="s">
        <v>115</v>
      </c>
      <c r="G32" s="26" t="s">
        <v>208</v>
      </c>
      <c r="H32" s="26" t="s">
        <v>176</v>
      </c>
      <c r="I32" s="26" t="s">
        <v>177</v>
      </c>
      <c r="J32" s="26" t="s">
        <v>195</v>
      </c>
      <c r="K32" s="26" t="s">
        <v>196</v>
      </c>
      <c r="L32" s="26" t="s">
        <v>197</v>
      </c>
      <c r="M32" s="26">
        <v>0</v>
      </c>
      <c r="N32" s="26"/>
      <c r="O32" s="52"/>
      <c r="P32" s="52"/>
      <c r="Q32" s="52"/>
      <c r="R32" s="67"/>
      <c r="S32" s="36">
        <v>0.129</v>
      </c>
      <c r="T32" s="36">
        <v>5.3999999999999999E-2</v>
      </c>
      <c r="U32" s="36">
        <v>1.2E-2</v>
      </c>
      <c r="V32" s="36">
        <v>7.0000000000000001E-3</v>
      </c>
      <c r="W32" s="36">
        <v>0.626</v>
      </c>
      <c r="X32" s="36">
        <v>8.9999999999999993E-3</v>
      </c>
      <c r="Y32" s="36">
        <v>0</v>
      </c>
      <c r="Z32" s="36">
        <v>0</v>
      </c>
      <c r="AA32">
        <v>50.8</v>
      </c>
      <c r="AB32">
        <v>0.5</v>
      </c>
      <c r="AC32">
        <v>139</v>
      </c>
      <c r="AD32" t="s">
        <v>230</v>
      </c>
      <c r="AE32">
        <v>159</v>
      </c>
      <c r="AF32" s="43">
        <f t="shared" si="2"/>
        <v>0.5426621160409556</v>
      </c>
      <c r="AG32" s="41">
        <v>207</v>
      </c>
      <c r="AH32" t="s">
        <v>230</v>
      </c>
      <c r="AI32" t="s">
        <v>230</v>
      </c>
      <c r="AJ32" t="str">
        <f t="shared" si="1"/>
        <v>O5/K10</v>
      </c>
      <c r="AK32" t="s">
        <v>82</v>
      </c>
      <c r="AL32" t="str">
        <f t="shared" si="3"/>
        <v>O5/K09</v>
      </c>
      <c r="AM32" t="s">
        <v>256</v>
      </c>
    </row>
    <row r="33" spans="1:40" x14ac:dyDescent="0.35">
      <c r="A33" s="23" t="s">
        <v>6</v>
      </c>
      <c r="B33" t="s">
        <v>5</v>
      </c>
      <c r="C33" t="s">
        <v>377</v>
      </c>
      <c r="D33" s="26" t="s">
        <v>155</v>
      </c>
      <c r="E33" s="26" t="s">
        <v>155</v>
      </c>
      <c r="F33" s="27" t="s">
        <v>116</v>
      </c>
      <c r="G33" s="26" t="s">
        <v>220</v>
      </c>
      <c r="H33" s="26" t="s">
        <v>178</v>
      </c>
      <c r="I33" s="26" t="s">
        <v>179</v>
      </c>
      <c r="J33" s="72" t="s">
        <v>230</v>
      </c>
      <c r="K33" s="26" t="s">
        <v>196</v>
      </c>
      <c r="L33" s="52" t="s">
        <v>230</v>
      </c>
      <c r="M33" s="26">
        <v>0</v>
      </c>
      <c r="N33" s="26"/>
      <c r="O33" s="52"/>
      <c r="P33" s="52"/>
      <c r="Q33" s="52"/>
      <c r="R33" s="64" t="s">
        <v>305</v>
      </c>
      <c r="S33" s="36">
        <v>3.5000000000000003E-2</v>
      </c>
      <c r="T33" s="36">
        <v>1.2E-2</v>
      </c>
      <c r="U33" s="36">
        <v>2.1000000000000001E-2</v>
      </c>
      <c r="V33" s="36">
        <v>6.0000000000000001E-3</v>
      </c>
      <c r="W33" s="36">
        <v>0.57399999999999995</v>
      </c>
      <c r="X33" s="36">
        <v>1.0999999999999999E-2</v>
      </c>
      <c r="Y33" s="36">
        <v>0</v>
      </c>
      <c r="Z33" s="36">
        <v>0</v>
      </c>
      <c r="AA33">
        <v>42.7</v>
      </c>
      <c r="AB33">
        <v>0.3</v>
      </c>
      <c r="AC33">
        <v>140</v>
      </c>
      <c r="AD33" t="s">
        <v>230</v>
      </c>
      <c r="AE33">
        <v>133</v>
      </c>
      <c r="AF33" s="43">
        <f t="shared" si="2"/>
        <v>0.4539249146757679</v>
      </c>
      <c r="AG33" s="41">
        <v>212</v>
      </c>
      <c r="AH33" t="s">
        <v>230</v>
      </c>
      <c r="AI33" t="s">
        <v>230</v>
      </c>
      <c r="AJ33" t="str">
        <f t="shared" si="1"/>
        <v>O5/K11</v>
      </c>
      <c r="AK33" t="s">
        <v>83</v>
      </c>
      <c r="AL33" t="str">
        <f t="shared" si="3"/>
        <v>O5/K10</v>
      </c>
      <c r="AM33" t="s">
        <v>256</v>
      </c>
    </row>
    <row r="34" spans="1:40" x14ac:dyDescent="0.35">
      <c r="A34" t="s">
        <v>7</v>
      </c>
      <c r="B34" t="s">
        <v>6</v>
      </c>
      <c r="C34" t="s">
        <v>377</v>
      </c>
      <c r="D34" s="26" t="s">
        <v>156</v>
      </c>
      <c r="E34" s="26" t="s">
        <v>157</v>
      </c>
      <c r="F34" s="27" t="s">
        <v>117</v>
      </c>
      <c r="G34" s="26" t="s">
        <v>221</v>
      </c>
      <c r="H34" s="26">
        <v>75101927</v>
      </c>
      <c r="I34" s="26" t="s">
        <v>180</v>
      </c>
      <c r="J34" s="26" t="s">
        <v>193</v>
      </c>
      <c r="K34" s="26" t="s">
        <v>196</v>
      </c>
      <c r="L34" s="26" t="s">
        <v>197</v>
      </c>
      <c r="M34" s="26">
        <v>0</v>
      </c>
      <c r="N34" s="52">
        <v>100</v>
      </c>
      <c r="O34" s="52"/>
      <c r="P34" s="52" t="s">
        <v>282</v>
      </c>
      <c r="Q34" s="52"/>
      <c r="R34" s="64"/>
      <c r="S34" s="36">
        <v>4.3999999999999997E-2</v>
      </c>
      <c r="T34" s="36">
        <v>0.01</v>
      </c>
      <c r="U34" s="36">
        <v>2.1999999999999999E-2</v>
      </c>
      <c r="V34" s="36">
        <v>6.0000000000000001E-3</v>
      </c>
      <c r="W34" s="36">
        <v>0.59699999999999998</v>
      </c>
      <c r="X34" s="36">
        <v>8.0000000000000002E-3</v>
      </c>
      <c r="Y34" s="36">
        <v>0</v>
      </c>
      <c r="Z34" s="36">
        <v>0</v>
      </c>
      <c r="AA34">
        <v>46.4</v>
      </c>
      <c r="AB34">
        <v>0.4</v>
      </c>
      <c r="AC34">
        <v>142</v>
      </c>
      <c r="AD34" t="s">
        <v>230</v>
      </c>
      <c r="AE34">
        <v>138</v>
      </c>
      <c r="AF34" s="43">
        <f t="shared" si="2"/>
        <v>0.47098976109215018</v>
      </c>
      <c r="AG34" s="41">
        <v>215</v>
      </c>
      <c r="AH34" t="s">
        <v>230</v>
      </c>
      <c r="AI34" t="s">
        <v>230</v>
      </c>
      <c r="AJ34" t="str">
        <f t="shared" si="1"/>
        <v>O5/K12</v>
      </c>
      <c r="AK34" t="s">
        <v>84</v>
      </c>
      <c r="AL34" t="str">
        <f t="shared" si="3"/>
        <v>O5/K11</v>
      </c>
      <c r="AM34" t="s">
        <v>256</v>
      </c>
    </row>
    <row r="35" spans="1:40" x14ac:dyDescent="0.35">
      <c r="A35" s="23" t="s">
        <v>8</v>
      </c>
      <c r="B35" t="s">
        <v>7</v>
      </c>
      <c r="C35" t="s">
        <v>377</v>
      </c>
      <c r="D35" s="26" t="s">
        <v>158</v>
      </c>
      <c r="E35" s="26" t="s">
        <v>144</v>
      </c>
      <c r="F35" s="27" t="s">
        <v>118</v>
      </c>
      <c r="G35" s="26" t="s">
        <v>209</v>
      </c>
      <c r="H35" s="26" t="s">
        <v>181</v>
      </c>
      <c r="I35" s="26" t="s">
        <v>182</v>
      </c>
      <c r="J35" s="26" t="s">
        <v>193</v>
      </c>
      <c r="K35" s="26" t="s">
        <v>196</v>
      </c>
      <c r="L35" s="26" t="s">
        <v>197</v>
      </c>
      <c r="M35" s="26">
        <v>0</v>
      </c>
      <c r="N35" s="26"/>
      <c r="O35" s="52"/>
      <c r="P35" s="52"/>
      <c r="Q35" s="52"/>
      <c r="R35" s="64" t="s">
        <v>295</v>
      </c>
      <c r="S35" s="36">
        <v>0.06</v>
      </c>
      <c r="T35" s="36">
        <v>1.4999999999999999E-2</v>
      </c>
      <c r="U35" s="36">
        <v>5.3999999999999999E-2</v>
      </c>
      <c r="V35" s="36">
        <v>5.0000000000000001E-3</v>
      </c>
      <c r="W35" s="36">
        <v>0.56599999999999995</v>
      </c>
      <c r="X35" s="36">
        <v>0.01</v>
      </c>
      <c r="Y35" s="36">
        <v>0</v>
      </c>
      <c r="Z35" s="36">
        <v>0</v>
      </c>
      <c r="AA35">
        <v>39.5</v>
      </c>
      <c r="AB35">
        <v>0.3</v>
      </c>
      <c r="AC35">
        <v>143</v>
      </c>
      <c r="AD35">
        <v>123</v>
      </c>
      <c r="AE35">
        <v>130</v>
      </c>
      <c r="AF35" s="43">
        <f t="shared" si="2"/>
        <v>0.44368600682593856</v>
      </c>
      <c r="AG35" s="41">
        <v>213</v>
      </c>
      <c r="AH35" t="s">
        <v>230</v>
      </c>
      <c r="AI35" t="s">
        <v>230</v>
      </c>
      <c r="AJ35" t="str">
        <f t="shared" si="1"/>
        <v>O5/K13</v>
      </c>
      <c r="AK35" t="s">
        <v>85</v>
      </c>
      <c r="AL35" t="str">
        <f t="shared" si="3"/>
        <v>O5/K12</v>
      </c>
      <c r="AM35" t="s">
        <v>256</v>
      </c>
    </row>
    <row r="36" spans="1:40" x14ac:dyDescent="0.35">
      <c r="A36" t="s">
        <v>9</v>
      </c>
      <c r="B36" t="s">
        <v>8</v>
      </c>
      <c r="C36" t="s">
        <v>377</v>
      </c>
      <c r="D36" s="26" t="s">
        <v>158</v>
      </c>
      <c r="E36" s="26" t="s">
        <v>144</v>
      </c>
      <c r="F36" s="27" t="s">
        <v>119</v>
      </c>
      <c r="G36" s="26" t="s">
        <v>222</v>
      </c>
      <c r="H36" s="26" t="s">
        <v>183</v>
      </c>
      <c r="I36" s="26" t="s">
        <v>184</v>
      </c>
      <c r="J36" s="26" t="s">
        <v>193</v>
      </c>
      <c r="K36" s="26" t="s">
        <v>196</v>
      </c>
      <c r="L36" s="26" t="s">
        <v>197</v>
      </c>
      <c r="M36" s="26">
        <v>0</v>
      </c>
      <c r="N36" s="52">
        <v>95</v>
      </c>
      <c r="O36" s="52" t="s">
        <v>285</v>
      </c>
      <c r="P36" s="52" t="s">
        <v>282</v>
      </c>
      <c r="Q36" s="52"/>
      <c r="R36" s="64" t="s">
        <v>296</v>
      </c>
      <c r="S36" s="36">
        <v>2.3E-2</v>
      </c>
      <c r="T36" s="36">
        <v>1.2E-2</v>
      </c>
      <c r="U36" s="36">
        <v>5.2999999999999999E-2</v>
      </c>
      <c r="V36" s="36">
        <v>5.0000000000000001E-3</v>
      </c>
      <c r="W36" s="36">
        <v>0.55600000000000005</v>
      </c>
      <c r="X36" s="36">
        <v>8.0000000000000002E-3</v>
      </c>
      <c r="Y36" s="36">
        <v>0</v>
      </c>
      <c r="Z36" s="36">
        <v>0</v>
      </c>
      <c r="AA36">
        <v>37.9</v>
      </c>
      <c r="AB36">
        <v>0.5</v>
      </c>
      <c r="AC36">
        <v>141</v>
      </c>
      <c r="AD36">
        <v>123</v>
      </c>
      <c r="AE36">
        <v>130</v>
      </c>
      <c r="AF36" s="43">
        <f t="shared" si="2"/>
        <v>0.44368600682593856</v>
      </c>
      <c r="AG36" s="41">
        <v>213</v>
      </c>
      <c r="AH36" t="s">
        <v>230</v>
      </c>
      <c r="AI36" t="s">
        <v>230</v>
      </c>
      <c r="AJ36" t="str">
        <f t="shared" si="1"/>
        <v>O5/K14</v>
      </c>
      <c r="AK36" t="s">
        <v>86</v>
      </c>
      <c r="AL36" t="str">
        <f t="shared" si="3"/>
        <v>O5/K13</v>
      </c>
      <c r="AM36" t="s">
        <v>256</v>
      </c>
    </row>
    <row r="37" spans="1:40" x14ac:dyDescent="0.35">
      <c r="A37" s="23" t="s">
        <v>10</v>
      </c>
      <c r="B37" t="s">
        <v>9</v>
      </c>
      <c r="C37" t="s">
        <v>377</v>
      </c>
      <c r="D37" s="26" t="s">
        <v>158</v>
      </c>
      <c r="E37" s="26" t="s">
        <v>144</v>
      </c>
      <c r="F37" s="27" t="s">
        <v>120</v>
      </c>
      <c r="G37" s="26" t="s">
        <v>210</v>
      </c>
      <c r="H37" s="26" t="s">
        <v>185</v>
      </c>
      <c r="I37" s="26" t="s">
        <v>186</v>
      </c>
      <c r="J37" s="26" t="s">
        <v>193</v>
      </c>
      <c r="K37" s="26" t="s">
        <v>196</v>
      </c>
      <c r="L37" s="26" t="s">
        <v>197</v>
      </c>
      <c r="M37" s="26">
        <v>0</v>
      </c>
      <c r="N37" s="52">
        <v>100</v>
      </c>
      <c r="O37" s="52"/>
      <c r="P37" s="52" t="s">
        <v>282</v>
      </c>
      <c r="Q37" s="52"/>
      <c r="R37" s="64" t="s">
        <v>297</v>
      </c>
      <c r="S37" s="36">
        <v>3.7999999999999999E-2</v>
      </c>
      <c r="T37" s="36">
        <v>0.01</v>
      </c>
      <c r="U37" s="36">
        <v>4.4999999999999998E-2</v>
      </c>
      <c r="V37" s="36">
        <v>5.0000000000000001E-3</v>
      </c>
      <c r="W37" s="36">
        <v>0.55500000000000005</v>
      </c>
      <c r="X37" s="36">
        <v>0.01</v>
      </c>
      <c r="Y37" s="36">
        <v>0</v>
      </c>
      <c r="Z37" s="36">
        <v>0</v>
      </c>
      <c r="AA37">
        <v>40.5</v>
      </c>
      <c r="AB37">
        <v>0.3</v>
      </c>
      <c r="AC37">
        <v>138</v>
      </c>
      <c r="AD37" t="s">
        <v>230</v>
      </c>
      <c r="AE37">
        <v>131</v>
      </c>
      <c r="AF37" s="43">
        <f t="shared" si="2"/>
        <v>0.44709897610921501</v>
      </c>
      <c r="AG37" s="41">
        <v>215</v>
      </c>
      <c r="AH37" t="s">
        <v>230</v>
      </c>
      <c r="AI37" t="s">
        <v>230</v>
      </c>
      <c r="AJ37" t="str">
        <f t="shared" si="1"/>
        <v>O5/K15</v>
      </c>
      <c r="AK37" t="s">
        <v>87</v>
      </c>
      <c r="AL37" t="str">
        <f t="shared" si="3"/>
        <v>O5/K14</v>
      </c>
      <c r="AM37" t="s">
        <v>256</v>
      </c>
    </row>
    <row r="38" spans="1:40" x14ac:dyDescent="0.35">
      <c r="A38" t="s">
        <v>63</v>
      </c>
      <c r="B38" t="s">
        <v>10</v>
      </c>
      <c r="C38" t="s">
        <v>377</v>
      </c>
      <c r="D38" s="26" t="s">
        <v>158</v>
      </c>
      <c r="E38" s="26" t="s">
        <v>144</v>
      </c>
      <c r="F38" s="27" t="s">
        <v>121</v>
      </c>
      <c r="G38" s="26" t="s">
        <v>223</v>
      </c>
      <c r="H38" s="26" t="s">
        <v>187</v>
      </c>
      <c r="I38" s="26" t="s">
        <v>188</v>
      </c>
      <c r="J38" s="26" t="s">
        <v>193</v>
      </c>
      <c r="K38" s="26" t="s">
        <v>196</v>
      </c>
      <c r="L38" s="26" t="s">
        <v>197</v>
      </c>
      <c r="M38" s="26">
        <v>0</v>
      </c>
      <c r="N38" s="52">
        <v>95</v>
      </c>
      <c r="O38" s="52" t="s">
        <v>285</v>
      </c>
      <c r="P38" s="52" t="s">
        <v>282</v>
      </c>
      <c r="Q38" s="52"/>
      <c r="R38" s="64" t="s">
        <v>296</v>
      </c>
      <c r="S38" s="36">
        <v>2.4E-2</v>
      </c>
      <c r="T38" s="36">
        <v>1.9E-2</v>
      </c>
      <c r="U38" s="36">
        <v>5.1999999999999998E-2</v>
      </c>
      <c r="V38" s="36">
        <v>5.0000000000000001E-3</v>
      </c>
      <c r="W38" s="36">
        <v>0.55700000000000005</v>
      </c>
      <c r="X38" s="36">
        <v>8.9999999999999993E-3</v>
      </c>
      <c r="Y38" s="36">
        <v>0</v>
      </c>
      <c r="Z38" s="36">
        <v>0</v>
      </c>
      <c r="AA38">
        <v>37.799999999999997</v>
      </c>
      <c r="AB38">
        <v>0.4</v>
      </c>
      <c r="AC38">
        <v>141</v>
      </c>
      <c r="AD38">
        <v>125</v>
      </c>
      <c r="AE38">
        <v>130</v>
      </c>
      <c r="AF38" s="43">
        <f t="shared" si="2"/>
        <v>0.44368600682593856</v>
      </c>
      <c r="AG38" s="41">
        <v>215</v>
      </c>
      <c r="AH38" t="s">
        <v>230</v>
      </c>
      <c r="AI38" t="s">
        <v>230</v>
      </c>
      <c r="AJ38" t="str">
        <f t="shared" si="1"/>
        <v>O5/K16</v>
      </c>
      <c r="AK38" t="s">
        <v>88</v>
      </c>
      <c r="AL38" t="str">
        <f t="shared" si="3"/>
        <v>O5/K15</v>
      </c>
      <c r="AM38" t="s">
        <v>256</v>
      </c>
    </row>
    <row r="39" spans="1:40" x14ac:dyDescent="0.35">
      <c r="A39" s="23" t="s">
        <v>299</v>
      </c>
      <c r="B39" t="s">
        <v>63</v>
      </c>
      <c r="C39" t="s">
        <v>377</v>
      </c>
      <c r="D39" s="26" t="s">
        <v>159</v>
      </c>
      <c r="E39" s="26" t="s">
        <v>160</v>
      </c>
      <c r="F39" s="27" t="s">
        <v>122</v>
      </c>
      <c r="G39" s="26" t="s">
        <v>215</v>
      </c>
      <c r="H39" s="26" t="s">
        <v>189</v>
      </c>
      <c r="I39" s="26" t="s">
        <v>190</v>
      </c>
      <c r="J39" s="26" t="s">
        <v>193</v>
      </c>
      <c r="K39" s="26" t="s">
        <v>196</v>
      </c>
      <c r="L39" s="52" t="s">
        <v>197</v>
      </c>
      <c r="M39" s="26">
        <v>0</v>
      </c>
      <c r="N39" s="52">
        <v>50</v>
      </c>
      <c r="O39" s="52"/>
      <c r="P39" s="52"/>
      <c r="Q39" s="52"/>
      <c r="R39" s="64" t="s">
        <v>291</v>
      </c>
      <c r="S39" s="36">
        <v>4.2000000000000003E-2</v>
      </c>
      <c r="T39" s="36">
        <v>1.0999999999999999E-2</v>
      </c>
      <c r="U39" s="36">
        <v>1.9E-2</v>
      </c>
      <c r="V39" s="36">
        <v>5.0000000000000001E-3</v>
      </c>
      <c r="W39" s="36">
        <v>0.57999999999999996</v>
      </c>
      <c r="X39" s="36">
        <v>8.0000000000000002E-3</v>
      </c>
      <c r="Y39" s="36">
        <v>0</v>
      </c>
      <c r="Z39" s="36">
        <v>0</v>
      </c>
      <c r="AA39">
        <v>43.9</v>
      </c>
      <c r="AB39">
        <v>0.5</v>
      </c>
      <c r="AC39">
        <v>137</v>
      </c>
      <c r="AD39" t="s">
        <v>230</v>
      </c>
      <c r="AE39">
        <v>139</v>
      </c>
      <c r="AF39" s="43">
        <f t="shared" si="2"/>
        <v>0.47440273037542663</v>
      </c>
      <c r="AG39" s="41">
        <v>215</v>
      </c>
      <c r="AH39" t="s">
        <v>230</v>
      </c>
      <c r="AI39" t="s">
        <v>230</v>
      </c>
      <c r="AJ39" t="str">
        <f t="shared" si="1"/>
        <v>O5/K17</v>
      </c>
      <c r="AK39" t="s">
        <v>89</v>
      </c>
      <c r="AL39" t="str">
        <f t="shared" si="3"/>
        <v>O5/K16</v>
      </c>
      <c r="AM39" t="s">
        <v>256</v>
      </c>
    </row>
    <row r="41" spans="1:40" x14ac:dyDescent="0.35">
      <c r="A41" s="11" t="s">
        <v>92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spans="1:40" x14ac:dyDescent="0.35">
      <c r="A42" s="6" t="s">
        <v>300</v>
      </c>
      <c r="B42" s="6"/>
    </row>
    <row r="43" spans="1:40" x14ac:dyDescent="0.35">
      <c r="A43" s="13" t="s">
        <v>301</v>
      </c>
      <c r="B43" s="13"/>
    </row>
    <row r="44" spans="1:40" x14ac:dyDescent="0.35">
      <c r="A44" s="70" t="s">
        <v>302</v>
      </c>
      <c r="B44" s="70"/>
    </row>
    <row r="45" spans="1:40" x14ac:dyDescent="0.35">
      <c r="A45" s="59" t="s">
        <v>319</v>
      </c>
      <c r="B45" s="59"/>
      <c r="C45" s="23"/>
    </row>
    <row r="46" spans="1:40" x14ac:dyDescent="0.35">
      <c r="A46" s="78" t="s">
        <v>331</v>
      </c>
      <c r="B46" s="78"/>
      <c r="C46" s="23"/>
    </row>
    <row r="47" spans="1:40" x14ac:dyDescent="0.35">
      <c r="A47" s="7" t="s">
        <v>255</v>
      </c>
      <c r="B47" s="7"/>
      <c r="C47" s="23"/>
    </row>
    <row r="48" spans="1:40" x14ac:dyDescent="0.35">
      <c r="A48" s="15" t="s">
        <v>252</v>
      </c>
      <c r="B48" s="15"/>
      <c r="C48" s="23"/>
    </row>
    <row r="49" spans="1:2" x14ac:dyDescent="0.35">
      <c r="A49" s="73" t="s">
        <v>303</v>
      </c>
      <c r="B49" s="73"/>
    </row>
    <row r="50" spans="1:2" x14ac:dyDescent="0.35">
      <c r="A50" s="74" t="s">
        <v>304</v>
      </c>
      <c r="B50" s="74"/>
    </row>
  </sheetData>
  <printOptions gridLines="1"/>
  <pageMargins left="0.19685039370078741" right="0.19685039370078741" top="0.19685039370078741" bottom="0.19685039370078741" header="0" footer="0"/>
  <pageSetup paperSize="9" scale="91" orientation="landscape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59"/>
  <sheetViews>
    <sheetView zoomScale="80" zoomScaleNormal="80" workbookViewId="0">
      <selection activeCell="G33" sqref="G33"/>
    </sheetView>
  </sheetViews>
  <sheetFormatPr defaultRowHeight="14.5" x14ac:dyDescent="0.35"/>
  <cols>
    <col min="1" max="10" width="7.7265625" customWidth="1"/>
    <col min="11" max="11" width="3.7265625" customWidth="1"/>
    <col min="12" max="22" width="8.54296875" customWidth="1"/>
    <col min="23" max="23" width="3.7265625" customWidth="1"/>
    <col min="24" max="37" width="8.7265625" customWidth="1"/>
  </cols>
  <sheetData>
    <row r="1" spans="1:37" x14ac:dyDescent="0.35">
      <c r="A1" s="9" t="s">
        <v>320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</row>
    <row r="2" spans="1:37" x14ac:dyDescent="0.35">
      <c r="A2" t="s">
        <v>359</v>
      </c>
    </row>
    <row r="3" spans="1:37" x14ac:dyDescent="0.35">
      <c r="A3" s="1" t="s">
        <v>358</v>
      </c>
    </row>
    <row r="5" spans="1:37" x14ac:dyDescent="0.35">
      <c r="A5" t="str">
        <f>DataBEFOREaging!A18</f>
        <v>ID</v>
      </c>
      <c r="B5" s="75" t="str">
        <f>DataBEFOREaging!S18</f>
        <v>IR/OI</v>
      </c>
      <c r="C5" s="75" t="str">
        <f>DataBEFOREaging!T18</f>
        <v>esd(OI)</v>
      </c>
      <c r="D5" s="75" t="str">
        <f>DataBEFOREaging!U18</f>
        <v>IR/VI</v>
      </c>
      <c r="E5" s="75" t="str">
        <f>DataBEFOREaging!V18</f>
        <v>esd(VI)</v>
      </c>
      <c r="F5" s="75" t="str">
        <f>DataBEFOREaging!W18</f>
        <v>IR/CI</v>
      </c>
      <c r="G5" s="75" t="str">
        <f>DataBEFOREaging!X18</f>
        <v>esd(CI)</v>
      </c>
      <c r="H5" s="75" t="str">
        <f>DataBEFOREaging!AA18</f>
        <v>Hv [MPa]</v>
      </c>
      <c r="I5" s="75" t="str">
        <f>DataBEFOREaging!AB18</f>
        <v>esd(Hv)</v>
      </c>
      <c r="J5" s="75" t="str">
        <f>DataBEFOREaging!AG18</f>
        <v>OOT</v>
      </c>
      <c r="X5" t="s">
        <v>321</v>
      </c>
    </row>
    <row r="6" spans="1:37" x14ac:dyDescent="0.35">
      <c r="A6" t="str">
        <f>DataBEFOREaging!A19</f>
        <v>M01</v>
      </c>
      <c r="B6" s="36">
        <f>DataBEFOREaging!S19</f>
        <v>4.2160256410256398E-2</v>
      </c>
      <c r="C6" s="36">
        <f>DataBEFOREaging!T19</f>
        <v>8.3723791622844351E-3</v>
      </c>
      <c r="D6" s="36">
        <f>DataBEFOREaging!U19</f>
        <v>6.5789473684210538E-5</v>
      </c>
      <c r="E6" s="36">
        <f>DataBEFOREaging!V19</f>
        <v>3.93171055094293E-4</v>
      </c>
      <c r="F6" s="36">
        <f>DataBEFOREaging!W19</f>
        <v>0.60686708860759475</v>
      </c>
      <c r="G6" s="36">
        <f>DataBEFOREaging!X19</f>
        <v>5.2880160516775472E-3</v>
      </c>
      <c r="H6" s="80">
        <f>DataBEFOREaging!AA19</f>
        <v>48.344999999999999</v>
      </c>
      <c r="I6" s="80">
        <f>DataBEFOREaging!AB19</f>
        <v>0.5</v>
      </c>
      <c r="J6" s="76">
        <f>DataBEFOREaging!AG19</f>
        <v>221.5</v>
      </c>
      <c r="X6" t="s">
        <v>322</v>
      </c>
    </row>
    <row r="7" spans="1:37" x14ac:dyDescent="0.35">
      <c r="A7" t="str">
        <f>DataBEFOREaging!A20</f>
        <v>M02</v>
      </c>
      <c r="B7" s="36">
        <f>DataBEFOREaging!S20</f>
        <v>4.7124183006535978E-3</v>
      </c>
      <c r="C7" s="36">
        <f>DataBEFOREaging!T20</f>
        <v>6.4243299902692896E-3</v>
      </c>
      <c r="D7" s="36">
        <f>DataBEFOREaging!U20</f>
        <v>1.9607843137254909E-4</v>
      </c>
      <c r="E7" s="36">
        <f>DataBEFOREaging!V20</f>
        <v>5.2639318316419486E-4</v>
      </c>
      <c r="F7" s="36">
        <f>DataBEFOREaging!W20</f>
        <v>0.60547058823529343</v>
      </c>
      <c r="G7" s="36">
        <f>DataBEFOREaging!X20</f>
        <v>4.3529464061553428E-3</v>
      </c>
      <c r="H7" s="80">
        <f>DataBEFOREaging!AA20</f>
        <v>46.7</v>
      </c>
      <c r="I7" s="80">
        <f>DataBEFOREaging!AB20</f>
        <v>0.4</v>
      </c>
      <c r="J7" s="76">
        <f>DataBEFOREaging!AG20</f>
        <v>282.5</v>
      </c>
      <c r="X7" t="s">
        <v>323</v>
      </c>
    </row>
    <row r="8" spans="1:37" x14ac:dyDescent="0.35">
      <c r="A8" t="str">
        <f>DataBEFOREaging!A21</f>
        <v>M03</v>
      </c>
      <c r="B8" s="36">
        <f>DataBEFOREaging!S21</f>
        <v>1.3917322834645664E-2</v>
      </c>
      <c r="C8" s="36">
        <f>DataBEFOREaging!T21</f>
        <v>1.7243707745664725E-2</v>
      </c>
      <c r="D8" s="36">
        <f>DataBEFOREaging!U21</f>
        <v>1.3312030075187959E-2</v>
      </c>
      <c r="E8" s="36">
        <f>DataBEFOREaging!V21</f>
        <v>1.9211798133288809E-3</v>
      </c>
      <c r="F8" s="36">
        <f>DataBEFOREaging!W21</f>
        <v>0.58461654135338337</v>
      </c>
      <c r="G8" s="36">
        <f>DataBEFOREaging!X21</f>
        <v>5.5346317450397035E-3</v>
      </c>
      <c r="H8" s="80">
        <f>DataBEFOREaging!AA21</f>
        <v>44.086365657154417</v>
      </c>
      <c r="I8" s="80">
        <f>DataBEFOREaging!AB21</f>
        <v>1.4348455735573353</v>
      </c>
      <c r="J8" s="76">
        <f>DataBEFOREaging!AG21</f>
        <v>269</v>
      </c>
      <c r="X8" t="s">
        <v>328</v>
      </c>
    </row>
    <row r="9" spans="1:37" x14ac:dyDescent="0.35">
      <c r="A9" t="str">
        <f>DataBEFOREaging!A22</f>
        <v>M04</v>
      </c>
      <c r="B9" s="36">
        <f>DataBEFOREaging!S22</f>
        <v>2.183464566929133E-2</v>
      </c>
      <c r="C9" s="36">
        <f>DataBEFOREaging!T22</f>
        <v>1.7243707745664725E-2</v>
      </c>
      <c r="D9" s="36">
        <f>DataBEFOREaging!U22</f>
        <v>2.6624060150375918E-2</v>
      </c>
      <c r="E9" s="36">
        <f>DataBEFOREaging!V22</f>
        <v>1.9211798133288809E-3</v>
      </c>
      <c r="F9" s="36">
        <f>DataBEFOREaging!W22</f>
        <v>0.58361654135338337</v>
      </c>
      <c r="G9" s="36">
        <f>DataBEFOREaging!X22</f>
        <v>5.5346317450397035E-3</v>
      </c>
      <c r="H9" s="80">
        <f>DataBEFOREaging!AA22</f>
        <v>43.349999999999994</v>
      </c>
      <c r="I9" s="80">
        <f>DataBEFOREaging!AB22</f>
        <v>0.4</v>
      </c>
      <c r="J9" s="76">
        <f>DataBEFOREaging!AG22</f>
        <v>258</v>
      </c>
      <c r="X9" t="s">
        <v>327</v>
      </c>
    </row>
    <row r="10" spans="1:37" x14ac:dyDescent="0.35">
      <c r="A10" t="str">
        <f>DataBEFOREaging!A23</f>
        <v>K01</v>
      </c>
      <c r="B10" s="36">
        <f>DataBEFOREaging!S23</f>
        <v>3.9291666666666641E-2</v>
      </c>
      <c r="C10" s="36">
        <f>DataBEFOREaging!T23</f>
        <v>9.4889669067685298E-3</v>
      </c>
      <c r="D10" s="36">
        <f>DataBEFOREaging!U23</f>
        <v>2.0750000000000001E-2</v>
      </c>
      <c r="E10" s="36">
        <f>DataBEFOREaging!V23</f>
        <v>1.7012836909766392E-3</v>
      </c>
      <c r="F10" s="36">
        <f>DataBEFOREaging!W23</f>
        <v>0.57051388888888888</v>
      </c>
      <c r="G10" s="36">
        <f>DataBEFOREaging!X23</f>
        <v>4.992933190684141E-3</v>
      </c>
      <c r="H10" s="80">
        <f>DataBEFOREaging!AA23</f>
        <v>43.4</v>
      </c>
      <c r="I10" s="80">
        <f>DataBEFOREaging!AB23</f>
        <v>0.3</v>
      </c>
      <c r="J10" s="76">
        <f>DataBEFOREaging!AG23</f>
        <v>219.33333333333334</v>
      </c>
      <c r="X10" t="s">
        <v>326</v>
      </c>
    </row>
    <row r="11" spans="1:37" x14ac:dyDescent="0.35">
      <c r="A11" t="str">
        <f>DataBEFOREaging!A24</f>
        <v>K02</v>
      </c>
      <c r="B11" s="36">
        <f>DataBEFOREaging!S24</f>
        <v>8.5000000000000006E-2</v>
      </c>
      <c r="C11" s="36">
        <f>DataBEFOREaging!T24</f>
        <v>1.4999999999999999E-2</v>
      </c>
      <c r="D11" s="36">
        <f>DataBEFOREaging!U24</f>
        <v>1.2E-2</v>
      </c>
      <c r="E11" s="36">
        <f>DataBEFOREaging!V24</f>
        <v>5.0000000000000001E-3</v>
      </c>
      <c r="F11" s="36">
        <f>DataBEFOREaging!W24</f>
        <v>0.625</v>
      </c>
      <c r="G11" s="36">
        <f>DataBEFOREaging!X24</f>
        <v>8.0000000000000002E-3</v>
      </c>
      <c r="H11" s="80">
        <f>DataBEFOREaging!AA24</f>
        <v>50.4</v>
      </c>
      <c r="I11" s="80">
        <f>DataBEFOREaging!AB24</f>
        <v>0.6</v>
      </c>
      <c r="J11" s="76">
        <f>DataBEFOREaging!AG24</f>
        <v>203</v>
      </c>
      <c r="X11" s="79" t="s">
        <v>334</v>
      </c>
    </row>
    <row r="12" spans="1:37" x14ac:dyDescent="0.35">
      <c r="A12" t="str">
        <f>DataBEFOREaging!A25</f>
        <v>K03</v>
      </c>
      <c r="B12" s="36">
        <f>DataBEFOREaging!S25</f>
        <v>6.0999999999999999E-2</v>
      </c>
      <c r="C12" s="36">
        <f>DataBEFOREaging!T25</f>
        <v>2.1000000000000001E-2</v>
      </c>
      <c r="D12" s="36">
        <f>DataBEFOREaging!U25</f>
        <v>0.05</v>
      </c>
      <c r="E12" s="36">
        <f>DataBEFOREaging!V25</f>
        <v>6.0000000000000001E-3</v>
      </c>
      <c r="F12" s="36">
        <f>DataBEFOREaging!W25</f>
        <v>0.62</v>
      </c>
      <c r="G12" s="36">
        <f>DataBEFOREaging!X25</f>
        <v>8.9999999999999993E-3</v>
      </c>
      <c r="H12" s="80">
        <f>DataBEFOREaging!AA25</f>
        <v>47.6</v>
      </c>
      <c r="I12" s="80">
        <f>DataBEFOREaging!AB25</f>
        <v>0.6</v>
      </c>
      <c r="J12" s="76">
        <f>DataBEFOREaging!AG25</f>
        <v>237</v>
      </c>
      <c r="X12" t="s">
        <v>335</v>
      </c>
    </row>
    <row r="13" spans="1:37" x14ac:dyDescent="0.35">
      <c r="A13" t="str">
        <f>DataBEFOREaging!A26</f>
        <v>K04</v>
      </c>
      <c r="B13" s="36">
        <f>DataBEFOREaging!S26</f>
        <v>2.1999999999999999E-2</v>
      </c>
      <c r="C13" s="36">
        <f>DataBEFOREaging!T26</f>
        <v>1.4E-2</v>
      </c>
      <c r="D13" s="36">
        <f>DataBEFOREaging!U26</f>
        <v>2.1000000000000001E-2</v>
      </c>
      <c r="E13" s="36">
        <f>DataBEFOREaging!V26</f>
        <v>5.0000000000000001E-3</v>
      </c>
      <c r="F13" s="36">
        <f>DataBEFOREaging!W26</f>
        <v>0.61899999999999999</v>
      </c>
      <c r="G13" s="36">
        <f>DataBEFOREaging!X26</f>
        <v>8.0000000000000002E-3</v>
      </c>
      <c r="H13" s="80">
        <f>DataBEFOREaging!AA26</f>
        <v>49.2</v>
      </c>
      <c r="I13" s="80">
        <f>DataBEFOREaging!AB26</f>
        <v>0.5</v>
      </c>
      <c r="J13" s="76">
        <f>DataBEFOREaging!AG26</f>
        <v>214</v>
      </c>
      <c r="X13" t="s">
        <v>336</v>
      </c>
    </row>
    <row r="14" spans="1:37" x14ac:dyDescent="0.35">
      <c r="A14" t="str">
        <f>DataBEFOREaging!A27</f>
        <v>K05</v>
      </c>
      <c r="B14" s="36">
        <f>DataBEFOREaging!S27</f>
        <v>3.5999999999999997E-2</v>
      </c>
      <c r="C14" s="36">
        <f>DataBEFOREaging!T27</f>
        <v>1.4E-2</v>
      </c>
      <c r="D14" s="36">
        <f>DataBEFOREaging!U27</f>
        <v>4.2000000000000003E-2</v>
      </c>
      <c r="E14" s="36">
        <f>DataBEFOREaging!V27</f>
        <v>5.0000000000000001E-3</v>
      </c>
      <c r="F14" s="36">
        <f>DataBEFOREaging!W27</f>
        <v>0.63700000000000001</v>
      </c>
      <c r="G14" s="36">
        <f>DataBEFOREaging!X27</f>
        <v>0.01</v>
      </c>
      <c r="H14" s="80">
        <f>DataBEFOREaging!AA27</f>
        <v>46.7</v>
      </c>
      <c r="I14" s="80">
        <f>DataBEFOREaging!AB27</f>
        <v>0.8</v>
      </c>
      <c r="J14" s="76">
        <f>DataBEFOREaging!AG27</f>
        <v>230</v>
      </c>
      <c r="X14" t="s">
        <v>337</v>
      </c>
    </row>
    <row r="15" spans="1:37" x14ac:dyDescent="0.35">
      <c r="A15" t="str">
        <f>DataBEFOREaging!A28</f>
        <v>K06</v>
      </c>
      <c r="B15" s="36">
        <f>DataBEFOREaging!S28</f>
        <v>4.8000000000000001E-2</v>
      </c>
      <c r="C15" s="36">
        <f>DataBEFOREaging!T28</f>
        <v>1.0999999999999999E-2</v>
      </c>
      <c r="D15" s="36">
        <f>DataBEFOREaging!U28</f>
        <v>2.1000000000000001E-2</v>
      </c>
      <c r="E15" s="36">
        <f>DataBEFOREaging!V28</f>
        <v>5.0000000000000001E-3</v>
      </c>
      <c r="F15" s="36">
        <f>DataBEFOREaging!W28</f>
        <v>0.57899999999999996</v>
      </c>
      <c r="G15" s="36">
        <f>DataBEFOREaging!X28</f>
        <v>0.01</v>
      </c>
      <c r="H15" s="80">
        <f>DataBEFOREaging!AA28</f>
        <v>44.1</v>
      </c>
      <c r="I15" s="80">
        <f>DataBEFOREaging!AB28</f>
        <v>0.4</v>
      </c>
      <c r="J15" s="76">
        <f>DataBEFOREaging!AG28</f>
        <v>213</v>
      </c>
    </row>
    <row r="16" spans="1:37" x14ac:dyDescent="0.35">
      <c r="A16" t="str">
        <f>DataBEFOREaging!A29</f>
        <v>K07</v>
      </c>
      <c r="B16" s="36">
        <f>DataBEFOREaging!S29</f>
        <v>3.1E-2</v>
      </c>
      <c r="C16" s="36">
        <f>DataBEFOREaging!T29</f>
        <v>8.9999999999999993E-3</v>
      </c>
      <c r="D16" s="36">
        <f>DataBEFOREaging!U29</f>
        <v>1.7000000000000001E-2</v>
      </c>
      <c r="E16" s="36">
        <f>DataBEFOREaging!V29</f>
        <v>4.0000000000000001E-3</v>
      </c>
      <c r="F16" s="36">
        <f>DataBEFOREaging!W29</f>
        <v>0.55700000000000005</v>
      </c>
      <c r="G16" s="36">
        <f>DataBEFOREaging!X29</f>
        <v>8.0000000000000002E-3</v>
      </c>
      <c r="H16" s="80">
        <f>DataBEFOREaging!AA29</f>
        <v>40.200000000000003</v>
      </c>
      <c r="I16" s="80">
        <f>DataBEFOREaging!AB29</f>
        <v>0.6</v>
      </c>
      <c r="J16" s="76">
        <f>DataBEFOREaging!AG29</f>
        <v>209</v>
      </c>
    </row>
    <row r="17" spans="1:24" x14ac:dyDescent="0.35">
      <c r="A17" t="str">
        <f>DataBEFOREaging!A30</f>
        <v>K08</v>
      </c>
      <c r="B17" s="36">
        <f>DataBEFOREaging!S30</f>
        <v>4.4999999999999998E-2</v>
      </c>
      <c r="C17" s="36">
        <f>DataBEFOREaging!T30</f>
        <v>1.4999999999999999E-2</v>
      </c>
      <c r="D17" s="36">
        <f>DataBEFOREaging!U30</f>
        <v>2.8000000000000001E-2</v>
      </c>
      <c r="E17" s="36">
        <f>DataBEFOREaging!V30</f>
        <v>4.0000000000000001E-3</v>
      </c>
      <c r="F17" s="36">
        <f>DataBEFOREaging!W30</f>
        <v>0.55300000000000005</v>
      </c>
      <c r="G17" s="36">
        <f>DataBEFOREaging!X30</f>
        <v>8.9999999999999993E-3</v>
      </c>
      <c r="H17" s="80">
        <f>DataBEFOREaging!AA30</f>
        <v>41.2</v>
      </c>
      <c r="I17" s="80">
        <f>DataBEFOREaging!AB30</f>
        <v>0.5</v>
      </c>
      <c r="J17" s="76">
        <f>DataBEFOREaging!AG30</f>
        <v>208</v>
      </c>
      <c r="X17" t="s">
        <v>324</v>
      </c>
    </row>
    <row r="18" spans="1:24" x14ac:dyDescent="0.35">
      <c r="A18" t="str">
        <f>DataBEFOREaging!A31</f>
        <v>K09</v>
      </c>
      <c r="B18" s="36">
        <f>DataBEFOREaging!S31</f>
        <v>2.5999999999999999E-2</v>
      </c>
      <c r="C18" s="36">
        <f>DataBEFOREaging!T31</f>
        <v>1.9E-2</v>
      </c>
      <c r="D18" s="36">
        <f>DataBEFOREaging!U31</f>
        <v>2.3E-2</v>
      </c>
      <c r="E18" s="36">
        <f>DataBEFOREaging!V31</f>
        <v>4.0000000000000001E-3</v>
      </c>
      <c r="F18" s="36">
        <f>DataBEFOREaging!W31</f>
        <v>0.57599999999999996</v>
      </c>
      <c r="G18" s="36">
        <f>DataBEFOREaging!X31</f>
        <v>8.0000000000000002E-3</v>
      </c>
      <c r="H18" s="80">
        <f>DataBEFOREaging!AA31</f>
        <v>43.4</v>
      </c>
      <c r="I18" s="80">
        <f>DataBEFOREaging!AB31</f>
        <v>0.3</v>
      </c>
      <c r="J18" s="76">
        <f>DataBEFOREaging!AG31</f>
        <v>213</v>
      </c>
      <c r="X18" t="s">
        <v>325</v>
      </c>
    </row>
    <row r="19" spans="1:24" x14ac:dyDescent="0.35">
      <c r="A19" t="str">
        <f>DataBEFOREaging!A32</f>
        <v>K10</v>
      </c>
      <c r="B19" s="36">
        <f>DataBEFOREaging!S32</f>
        <v>0.129</v>
      </c>
      <c r="C19" s="36">
        <f>DataBEFOREaging!T32</f>
        <v>5.3999999999999999E-2</v>
      </c>
      <c r="D19" s="36">
        <f>DataBEFOREaging!U32</f>
        <v>1.2E-2</v>
      </c>
      <c r="E19" s="36">
        <f>DataBEFOREaging!V32</f>
        <v>7.0000000000000001E-3</v>
      </c>
      <c r="F19" s="36">
        <f>DataBEFOREaging!W32</f>
        <v>0.626</v>
      </c>
      <c r="G19" s="36">
        <f>DataBEFOREaging!X32</f>
        <v>8.9999999999999993E-3</v>
      </c>
      <c r="H19" s="80">
        <f>DataBEFOREaging!AA32</f>
        <v>50.8</v>
      </c>
      <c r="I19" s="80">
        <f>DataBEFOREaging!AB32</f>
        <v>0.5</v>
      </c>
      <c r="J19" s="76">
        <f>DataBEFOREaging!AG32</f>
        <v>207</v>
      </c>
      <c r="X19" t="s">
        <v>334</v>
      </c>
    </row>
    <row r="20" spans="1:24" x14ac:dyDescent="0.35">
      <c r="A20" t="str">
        <f>DataBEFOREaging!A33</f>
        <v>K11</v>
      </c>
      <c r="B20" s="36">
        <f>DataBEFOREaging!S33</f>
        <v>3.5000000000000003E-2</v>
      </c>
      <c r="C20" s="36">
        <f>DataBEFOREaging!T33</f>
        <v>1.2E-2</v>
      </c>
      <c r="D20" s="36">
        <f>DataBEFOREaging!U33</f>
        <v>2.1000000000000001E-2</v>
      </c>
      <c r="E20" s="36">
        <f>DataBEFOREaging!V33</f>
        <v>6.0000000000000001E-3</v>
      </c>
      <c r="F20" s="36">
        <f>DataBEFOREaging!W33</f>
        <v>0.57399999999999995</v>
      </c>
      <c r="G20" s="36">
        <f>DataBEFOREaging!X33</f>
        <v>1.0999999999999999E-2</v>
      </c>
      <c r="H20" s="80">
        <f>DataBEFOREaging!AA33</f>
        <v>42.7</v>
      </c>
      <c r="I20" s="80">
        <f>DataBEFOREaging!AB33</f>
        <v>0.3</v>
      </c>
      <c r="J20" s="76">
        <f>DataBEFOREaging!AG33</f>
        <v>212</v>
      </c>
      <c r="X20" t="s">
        <v>338</v>
      </c>
    </row>
    <row r="21" spans="1:24" x14ac:dyDescent="0.35">
      <c r="A21" t="str">
        <f>DataBEFOREaging!A34</f>
        <v>K12</v>
      </c>
      <c r="B21" s="36">
        <f>DataBEFOREaging!S34</f>
        <v>4.3999999999999997E-2</v>
      </c>
      <c r="C21" s="36">
        <f>DataBEFOREaging!T34</f>
        <v>0.01</v>
      </c>
      <c r="D21" s="36">
        <f>DataBEFOREaging!U34</f>
        <v>2.1999999999999999E-2</v>
      </c>
      <c r="E21" s="36">
        <f>DataBEFOREaging!V34</f>
        <v>6.0000000000000001E-3</v>
      </c>
      <c r="F21" s="36">
        <f>DataBEFOREaging!W34</f>
        <v>0.59699999999999998</v>
      </c>
      <c r="G21" s="36">
        <f>DataBEFOREaging!X34</f>
        <v>8.0000000000000002E-3</v>
      </c>
      <c r="H21" s="80">
        <f>DataBEFOREaging!AA34</f>
        <v>46.4</v>
      </c>
      <c r="I21" s="80">
        <f>DataBEFOREaging!AB34</f>
        <v>0.4</v>
      </c>
      <c r="J21" s="76">
        <f>DataBEFOREaging!AG34</f>
        <v>215</v>
      </c>
      <c r="X21" t="s">
        <v>339</v>
      </c>
    </row>
    <row r="22" spans="1:24" x14ac:dyDescent="0.35">
      <c r="A22" t="str">
        <f>DataBEFOREaging!A35</f>
        <v>K13</v>
      </c>
      <c r="B22" s="36">
        <f>DataBEFOREaging!S35</f>
        <v>0.06</v>
      </c>
      <c r="C22" s="36">
        <f>DataBEFOREaging!T35</f>
        <v>1.4999999999999999E-2</v>
      </c>
      <c r="D22" s="36">
        <f>DataBEFOREaging!U35</f>
        <v>5.3999999999999999E-2</v>
      </c>
      <c r="E22" s="36">
        <f>DataBEFOREaging!V35</f>
        <v>5.0000000000000001E-3</v>
      </c>
      <c r="F22" s="36">
        <f>DataBEFOREaging!W35</f>
        <v>0.56599999999999995</v>
      </c>
      <c r="G22" s="36">
        <f>DataBEFOREaging!X35</f>
        <v>0.01</v>
      </c>
      <c r="H22" s="80">
        <f>DataBEFOREaging!AA35</f>
        <v>39.5</v>
      </c>
      <c r="I22" s="80">
        <f>DataBEFOREaging!AB35</f>
        <v>0.3</v>
      </c>
      <c r="J22" s="76">
        <f>DataBEFOREaging!AG35</f>
        <v>213</v>
      </c>
    </row>
    <row r="23" spans="1:24" x14ac:dyDescent="0.35">
      <c r="A23" t="str">
        <f>DataBEFOREaging!A36</f>
        <v>K14</v>
      </c>
      <c r="B23" s="36">
        <f>DataBEFOREaging!S36</f>
        <v>2.3E-2</v>
      </c>
      <c r="C23" s="36">
        <f>DataBEFOREaging!T36</f>
        <v>1.2E-2</v>
      </c>
      <c r="D23" s="36">
        <f>DataBEFOREaging!U36</f>
        <v>5.2999999999999999E-2</v>
      </c>
      <c r="E23" s="36">
        <f>DataBEFOREaging!V36</f>
        <v>5.0000000000000001E-3</v>
      </c>
      <c r="F23" s="36">
        <f>DataBEFOREaging!W36</f>
        <v>0.55600000000000005</v>
      </c>
      <c r="G23" s="36">
        <f>DataBEFOREaging!X36</f>
        <v>8.0000000000000002E-3</v>
      </c>
      <c r="H23" s="80">
        <f>DataBEFOREaging!AA36</f>
        <v>37.9</v>
      </c>
      <c r="I23" s="80">
        <f>DataBEFOREaging!AB36</f>
        <v>0.5</v>
      </c>
      <c r="J23" s="76">
        <f>DataBEFOREaging!AG36</f>
        <v>213</v>
      </c>
    </row>
    <row r="24" spans="1:24" x14ac:dyDescent="0.35">
      <c r="A24" t="str">
        <f>DataBEFOREaging!A37</f>
        <v>K15</v>
      </c>
      <c r="B24" s="36">
        <f>DataBEFOREaging!S37</f>
        <v>3.7999999999999999E-2</v>
      </c>
      <c r="C24" s="36">
        <f>DataBEFOREaging!T37</f>
        <v>0.01</v>
      </c>
      <c r="D24" s="36">
        <f>DataBEFOREaging!U37</f>
        <v>4.4999999999999998E-2</v>
      </c>
      <c r="E24" s="36">
        <f>DataBEFOREaging!V37</f>
        <v>5.0000000000000001E-3</v>
      </c>
      <c r="F24" s="36">
        <f>DataBEFOREaging!W37</f>
        <v>0.55500000000000005</v>
      </c>
      <c r="G24" s="36">
        <f>DataBEFOREaging!X37</f>
        <v>0.01</v>
      </c>
      <c r="H24" s="80">
        <f>DataBEFOREaging!AA37</f>
        <v>40.5</v>
      </c>
      <c r="I24" s="80">
        <f>DataBEFOREaging!AB37</f>
        <v>0.3</v>
      </c>
      <c r="J24" s="76">
        <f>DataBEFOREaging!AG37</f>
        <v>215</v>
      </c>
    </row>
    <row r="25" spans="1:24" x14ac:dyDescent="0.35">
      <c r="A25" t="str">
        <f>DataBEFOREaging!A38</f>
        <v>K16</v>
      </c>
      <c r="B25" s="36">
        <f>DataBEFOREaging!S38</f>
        <v>2.4E-2</v>
      </c>
      <c r="C25" s="36">
        <f>DataBEFOREaging!T38</f>
        <v>1.9E-2</v>
      </c>
      <c r="D25" s="36">
        <f>DataBEFOREaging!U38</f>
        <v>5.1999999999999998E-2</v>
      </c>
      <c r="E25" s="36">
        <f>DataBEFOREaging!V38</f>
        <v>5.0000000000000001E-3</v>
      </c>
      <c r="F25" s="36">
        <f>DataBEFOREaging!W38</f>
        <v>0.55700000000000005</v>
      </c>
      <c r="G25" s="36">
        <f>DataBEFOREaging!X38</f>
        <v>8.9999999999999993E-3</v>
      </c>
      <c r="H25" s="80">
        <f>DataBEFOREaging!AA38</f>
        <v>37.799999999999997</v>
      </c>
      <c r="I25" s="80">
        <f>DataBEFOREaging!AB38</f>
        <v>0.4</v>
      </c>
      <c r="J25" s="76">
        <f>DataBEFOREaging!AG38</f>
        <v>215</v>
      </c>
    </row>
    <row r="26" spans="1:24" x14ac:dyDescent="0.35">
      <c r="A26" t="str">
        <f>DataBEFOREaging!A39</f>
        <v>K17</v>
      </c>
      <c r="B26" s="36">
        <f>DataBEFOREaging!S39</f>
        <v>4.2000000000000003E-2</v>
      </c>
      <c r="C26" s="36">
        <f>DataBEFOREaging!T39</f>
        <v>1.0999999999999999E-2</v>
      </c>
      <c r="D26" s="36">
        <f>DataBEFOREaging!U39</f>
        <v>1.9E-2</v>
      </c>
      <c r="E26" s="36">
        <f>DataBEFOREaging!V39</f>
        <v>5.0000000000000001E-3</v>
      </c>
      <c r="F26" s="36">
        <f>DataBEFOREaging!W39</f>
        <v>0.57999999999999996</v>
      </c>
      <c r="G26" s="36">
        <f>DataBEFOREaging!X39</f>
        <v>8.0000000000000002E-3</v>
      </c>
      <c r="H26" s="80">
        <f>DataBEFOREaging!AA39</f>
        <v>43.9</v>
      </c>
      <c r="I26" s="80">
        <f>DataBEFOREaging!AB39</f>
        <v>0.5</v>
      </c>
      <c r="J26" s="76">
        <f>DataBEFOREaging!AG39</f>
        <v>215</v>
      </c>
      <c r="X26" t="s">
        <v>324</v>
      </c>
    </row>
    <row r="27" spans="1:24" x14ac:dyDescent="0.35">
      <c r="X27" t="s">
        <v>329</v>
      </c>
    </row>
    <row r="28" spans="1:24" x14ac:dyDescent="0.35">
      <c r="X28" t="s">
        <v>330</v>
      </c>
    </row>
    <row r="29" spans="1:24" x14ac:dyDescent="0.35">
      <c r="X29" t="s">
        <v>334</v>
      </c>
    </row>
    <row r="30" spans="1:24" x14ac:dyDescent="0.35">
      <c r="X30" t="s">
        <v>341</v>
      </c>
    </row>
    <row r="31" spans="1:24" x14ac:dyDescent="0.35">
      <c r="X31" t="s">
        <v>340</v>
      </c>
    </row>
    <row r="35" spans="24:24" x14ac:dyDescent="0.35">
      <c r="X35" t="s">
        <v>345</v>
      </c>
    </row>
    <row r="36" spans="24:24" x14ac:dyDescent="0.35">
      <c r="X36" t="s">
        <v>346</v>
      </c>
    </row>
    <row r="37" spans="24:24" x14ac:dyDescent="0.35">
      <c r="X37" t="s">
        <v>347</v>
      </c>
    </row>
    <row r="38" spans="24:24" x14ac:dyDescent="0.35">
      <c r="X38" t="s">
        <v>348</v>
      </c>
    </row>
    <row r="39" spans="24:24" x14ac:dyDescent="0.35">
      <c r="X39" t="s">
        <v>349</v>
      </c>
    </row>
    <row r="40" spans="24:24" x14ac:dyDescent="0.35">
      <c r="X40" t="s">
        <v>350</v>
      </c>
    </row>
    <row r="41" spans="24:24" x14ac:dyDescent="0.35">
      <c r="X41" t="s">
        <v>351</v>
      </c>
    </row>
    <row r="42" spans="24:24" x14ac:dyDescent="0.35">
      <c r="X42" t="s">
        <v>352</v>
      </c>
    </row>
    <row r="43" spans="24:24" x14ac:dyDescent="0.35">
      <c r="X43" t="s">
        <v>353</v>
      </c>
    </row>
    <row r="46" spans="24:24" x14ac:dyDescent="0.35">
      <c r="X46" t="s">
        <v>332</v>
      </c>
    </row>
    <row r="47" spans="24:24" x14ac:dyDescent="0.35">
      <c r="X47" t="s">
        <v>333</v>
      </c>
    </row>
    <row r="48" spans="24:24" x14ac:dyDescent="0.35">
      <c r="X48" t="str">
        <f t="shared" ref="X48:X53" si="0">X5</f>
        <v>modré = všechny běžné</v>
      </c>
    </row>
    <row r="49" spans="12:24" x14ac:dyDescent="0.35">
      <c r="X49" t="str">
        <f t="shared" si="0"/>
        <v>zelené = s vitaminem E</v>
      </c>
    </row>
    <row r="50" spans="12:24" x14ac:dyDescent="0.35">
      <c r="X50" t="str">
        <f t="shared" si="0"/>
        <v>červené = sterilizované gamma zářením</v>
      </c>
    </row>
    <row r="51" spans="12:24" x14ac:dyDescent="0.35">
      <c r="X51" t="str">
        <f t="shared" si="0"/>
        <v>oranžové = zajímavé přechodné případy:</v>
      </c>
    </row>
    <row r="52" spans="12:24" x14ac:dyDescent="0.35">
      <c r="X52" t="str">
        <f t="shared" si="0"/>
        <v>...K03: stabilizovaný vitaminem E, ALE současně bez tepelné úpravy</v>
      </c>
    </row>
    <row r="53" spans="12:24" x14ac:dyDescent="0.35">
      <c r="X53" t="str">
        <f t="shared" si="0"/>
        <v>...K05: sterilizovaný gamma zářením, ALE současně stabilizovaný vitaminem E</v>
      </c>
    </row>
    <row r="54" spans="12:24" x14ac:dyDescent="0.35">
      <c r="X54" t="s">
        <v>334</v>
      </c>
    </row>
    <row r="55" spans="12:24" x14ac:dyDescent="0.35">
      <c r="X55" t="s">
        <v>342</v>
      </c>
    </row>
    <row r="56" spans="12:24" x14ac:dyDescent="0.35">
      <c r="L56" t="s">
        <v>357</v>
      </c>
      <c r="X56" t="s">
        <v>343</v>
      </c>
    </row>
    <row r="57" spans="12:24" x14ac:dyDescent="0.35">
      <c r="L57" t="s">
        <v>354</v>
      </c>
      <c r="X57" t="s">
        <v>344</v>
      </c>
    </row>
    <row r="58" spans="12:24" x14ac:dyDescent="0.35">
      <c r="L58" t="s">
        <v>355</v>
      </c>
    </row>
    <row r="59" spans="12:24" x14ac:dyDescent="0.35">
      <c r="L59" t="s">
        <v>356</v>
      </c>
    </row>
  </sheetData>
  <pageMargins left="3.937007874015748E-2" right="3.937007874015748E-2" top="0.19685039370078741" bottom="0.19685039370078741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8"/>
  <sheetViews>
    <sheetView workbookViewId="0">
      <selection activeCell="A30" sqref="A30"/>
    </sheetView>
  </sheetViews>
  <sheetFormatPr defaultRowHeight="14.5" x14ac:dyDescent="0.35"/>
  <cols>
    <col min="1" max="1" width="10" customWidth="1"/>
    <col min="2" max="2" width="19.26953125" customWidth="1"/>
    <col min="3" max="3" width="73.1796875" customWidth="1"/>
  </cols>
  <sheetData>
    <row r="1" spans="1:3" x14ac:dyDescent="0.35">
      <c r="A1" s="81" t="s">
        <v>366</v>
      </c>
    </row>
    <row r="2" spans="1:3" x14ac:dyDescent="0.35">
      <c r="A2" t="s">
        <v>360</v>
      </c>
    </row>
    <row r="3" spans="1:3" x14ac:dyDescent="0.35">
      <c r="A3" t="s">
        <v>367</v>
      </c>
    </row>
    <row r="4" spans="1:3" x14ac:dyDescent="0.35">
      <c r="A4" t="s">
        <v>370</v>
      </c>
    </row>
    <row r="6" spans="1:3" x14ac:dyDescent="0.35">
      <c r="A6" s="2" t="s">
        <v>12</v>
      </c>
      <c r="B6" s="2"/>
      <c r="C6" s="2"/>
    </row>
    <row r="7" spans="1:3" x14ac:dyDescent="0.35">
      <c r="A7" s="2" t="s">
        <v>361</v>
      </c>
      <c r="B7" s="2" t="s">
        <v>362</v>
      </c>
      <c r="C7" s="2" t="s">
        <v>11</v>
      </c>
    </row>
    <row r="8" spans="1:3" x14ac:dyDescent="0.35">
      <c r="A8" t="str">
        <f>DataBEFOREaging!A19</f>
        <v>M01</v>
      </c>
      <c r="B8" t="str">
        <f>DataBEFOREaging!E19</f>
        <v>ÚMCH</v>
      </c>
      <c r="C8" t="str">
        <f>DataBEFOREaging!F19</f>
        <v>Beznoska, PE (univerzalni nesitovany)</v>
      </c>
    </row>
    <row r="9" spans="1:3" x14ac:dyDescent="0.35">
      <c r="A9" t="str">
        <f>DataBEFOREaging!A20</f>
        <v>M02</v>
      </c>
      <c r="B9" t="str">
        <f>DataBEFOREaging!E20</f>
        <v>ÚMCH</v>
      </c>
      <c r="C9" t="str">
        <f>DataBEFOREaging!F20</f>
        <v>Beznoska, PE+E (univerzalni nesitovany s VitE)</v>
      </c>
    </row>
    <row r="10" spans="1:3" x14ac:dyDescent="0.35">
      <c r="A10" t="str">
        <f>DataBEFOREaging!A21</f>
        <v>M03</v>
      </c>
      <c r="B10" t="str">
        <f>DataBEFOREaging!E21</f>
        <v>ÚMCH</v>
      </c>
      <c r="C10" t="str">
        <f>DataBEFOREaging!F21</f>
        <v>Beznoska, PE/50kGy+RM+E (sitovany s VitE, planovany pro kolena)</v>
      </c>
    </row>
    <row r="11" spans="1:3" x14ac:dyDescent="0.35">
      <c r="A11" t="str">
        <f>DataBEFOREaging!A22</f>
        <v>M04</v>
      </c>
      <c r="B11" t="str">
        <f>DataBEFOREaging!E22</f>
        <v>ÚMCH</v>
      </c>
      <c r="C11" t="str">
        <f>DataBEFOREaging!F22</f>
        <v>Beznoska, PE/100kGy+RM+E (vice sitovany s VitE, planovany pro kycle)</v>
      </c>
    </row>
    <row r="12" spans="1:3" x14ac:dyDescent="0.35">
      <c r="A12" t="str">
        <f>DataBEFOREaging!A23</f>
        <v>K01</v>
      </c>
      <c r="B12" t="str">
        <f>DataBEFOREaging!E23</f>
        <v>Beznoska</v>
      </c>
      <c r="C12" t="str">
        <f>DataBEFOREaging!F23</f>
        <v>Beznoska, PE/75kGy+RM (sitovany pro kycle)</v>
      </c>
    </row>
    <row r="13" spans="1:3" x14ac:dyDescent="0.35">
      <c r="A13" t="str">
        <f>DataBEFOREaging!A24</f>
        <v>K02</v>
      </c>
      <c r="B13" t="str">
        <f>DataBEFOREaging!E24</f>
        <v>Bbraun Medical</v>
      </c>
      <c r="C13" t="str">
        <f>DataBEFOREaging!F24</f>
        <v xml:space="preserve">PE jamka typ Müller (Aesculap) </v>
      </c>
    </row>
    <row r="14" spans="1:3" x14ac:dyDescent="0.35">
      <c r="A14" t="str">
        <f>DataBEFOREaging!A25</f>
        <v>K03</v>
      </c>
      <c r="B14" t="str">
        <f>DataBEFOREaging!E25</f>
        <v>Bbraun Medical</v>
      </c>
      <c r="C14" t="str">
        <f>DataBEFOREaging!F25</f>
        <v>vložka PE Vitelene -do jamky Plasmafit (Aesculap)</v>
      </c>
    </row>
    <row r="15" spans="1:3" x14ac:dyDescent="0.35">
      <c r="A15" t="str">
        <f>DataBEFOREaging!A26</f>
        <v>K04</v>
      </c>
      <c r="B15" t="str">
        <f>DataBEFOREaging!E26</f>
        <v>Zimmer Czech</v>
      </c>
      <c r="C15" t="str">
        <f>DataBEFOREaging!F26</f>
        <v xml:space="preserve">PE vložka Ringloc-X Arcom pro jamku Exceed ABT (Biomet Merck) </v>
      </c>
    </row>
    <row r="16" spans="1:3" x14ac:dyDescent="0.35">
      <c r="A16" t="str">
        <f>DataBEFOREaging!A27</f>
        <v>K05</v>
      </c>
      <c r="B16" t="str">
        <f>DataBEFOREaging!E27</f>
        <v>Zimmer Czech</v>
      </c>
      <c r="C16" t="str">
        <f>DataBEFOREaging!F27</f>
        <v>PE vložka Ringloc-X E1 standard liner -poly pro jamku Exceed ABT (Biomet Merck)</v>
      </c>
    </row>
    <row r="17" spans="1:3" x14ac:dyDescent="0.35">
      <c r="A17" t="str">
        <f>DataBEFOREaging!A28</f>
        <v>K06</v>
      </c>
      <c r="B17" t="str">
        <f>DataBEFOREaging!E28</f>
        <v>Biosolution</v>
      </c>
      <c r="C17" t="str">
        <f>DataBEFOREaging!F28</f>
        <v>Vložka PE Implacross (implantcast gmbh)</v>
      </c>
    </row>
    <row r="18" spans="1:3" x14ac:dyDescent="0.35">
      <c r="A18" t="str">
        <f>DataBEFOREaging!A29</f>
        <v>K07</v>
      </c>
      <c r="B18" t="str">
        <f>DataBEFOREaging!E29</f>
        <v>Johnson&amp;Johnson</v>
      </c>
      <c r="C18" t="str">
        <f>DataBEFOREaging!F29</f>
        <v>PE vložka Marathon pro jamku Pinnacle (Johnson&amp;Johnson ltd.)</v>
      </c>
    </row>
    <row r="19" spans="1:3" x14ac:dyDescent="0.35">
      <c r="A19" t="str">
        <f>DataBEFOREaging!A30</f>
        <v>K08</v>
      </c>
      <c r="B19" t="str">
        <f>DataBEFOREaging!E30</f>
        <v>Lima CZ</v>
      </c>
      <c r="C19" t="str">
        <f>DataBEFOREaging!F30</f>
        <v xml:space="preserve">PE vložka jamky Delta (X-Lima) (Lima) </v>
      </c>
    </row>
    <row r="20" spans="1:3" x14ac:dyDescent="0.35">
      <c r="A20" t="str">
        <f>DataBEFOREaging!A31</f>
        <v>K09</v>
      </c>
      <c r="B20" t="str">
        <f>DataBEFOREaging!E31</f>
        <v>Germeditec</v>
      </c>
      <c r="C20" t="str">
        <f>DataBEFOREaging!F31</f>
        <v xml:space="preserve">PE vložka X-LINKed pro jamku CFP (Link) </v>
      </c>
    </row>
    <row r="21" spans="1:3" x14ac:dyDescent="0.35">
      <c r="A21" t="str">
        <f>DataBEFOREaging!A32</f>
        <v>K10</v>
      </c>
      <c r="B21" t="str">
        <f>DataBEFOREaging!E32</f>
        <v>Comesa</v>
      </c>
      <c r="C21" t="str">
        <f>DataBEFOREaging!F32</f>
        <v>Jamka SeleXys - PE vložka (Mathys Bettlach)</v>
      </c>
    </row>
    <row r="22" spans="1:3" x14ac:dyDescent="0.35">
      <c r="A22" t="str">
        <f>DataBEFOREaging!A33</f>
        <v>K11</v>
      </c>
      <c r="B22" t="str">
        <f>DataBEFOREaging!E33</f>
        <v>Prospon</v>
      </c>
      <c r="C22" t="str">
        <f>DataBEFOREaging!F33</f>
        <v xml:space="preserve">PE vložka pro jamku Medin sfera (Prospon) </v>
      </c>
    </row>
    <row r="23" spans="1:3" x14ac:dyDescent="0.35">
      <c r="A23" t="str">
        <f>DataBEFOREaging!A34</f>
        <v>K12</v>
      </c>
      <c r="B23" t="str">
        <f>DataBEFOREaging!E34</f>
        <v>Aura Medical</v>
      </c>
      <c r="C23" t="str">
        <f>DataBEFOREaging!F34</f>
        <v>Vložka PE Bicon Plus (Smith&amp;Nephew Medical) XLPE</v>
      </c>
    </row>
    <row r="24" spans="1:3" x14ac:dyDescent="0.35">
      <c r="A24" t="str">
        <f>DataBEFOREaging!A35</f>
        <v>K13</v>
      </c>
      <c r="B24" t="str">
        <f>DataBEFOREaging!E35</f>
        <v>Zimmer Czech</v>
      </c>
      <c r="C24" t="str">
        <f>DataBEFOREaging!F35</f>
        <v>Jamka CSF "Zweymüller Alloclassic" - PE vložka (Sulzer) Durasul</v>
      </c>
    </row>
    <row r="25" spans="1:3" x14ac:dyDescent="0.35">
      <c r="A25" t="str">
        <f>DataBEFOREaging!A36</f>
        <v>K14</v>
      </c>
      <c r="B25" t="str">
        <f>DataBEFOREaging!E36</f>
        <v>Zimmer Czech</v>
      </c>
      <c r="C25" t="str">
        <f>DataBEFOREaging!F36</f>
        <v xml:space="preserve">Vložka Gamma Durasul pro jamu Allofit (Zimmer) </v>
      </c>
    </row>
    <row r="26" spans="1:3" x14ac:dyDescent="0.35">
      <c r="A26" t="str">
        <f>DataBEFOREaging!A37</f>
        <v>K15</v>
      </c>
      <c r="B26" t="str">
        <f>DataBEFOREaging!E37</f>
        <v>Zimmer Czech</v>
      </c>
      <c r="C26" t="str">
        <f>DataBEFOREaging!F37</f>
        <v xml:space="preserve">Vložka HXPE Longevity pro jamky řady IT(Continuum,Trilogy,Allofit) (Zimmer) </v>
      </c>
    </row>
    <row r="27" spans="1:3" x14ac:dyDescent="0.35">
      <c r="A27" t="str">
        <f>DataBEFOREaging!A38</f>
        <v>K16</v>
      </c>
      <c r="B27" t="str">
        <f>DataBEFOREaging!E38</f>
        <v>Zimmer Czech</v>
      </c>
      <c r="C27" t="str">
        <f>DataBEFOREaging!F38</f>
        <v>Vložka Alpha Durasul pro jamku Allofit (Zimmer)</v>
      </c>
    </row>
    <row r="28" spans="1:3" x14ac:dyDescent="0.35">
      <c r="A28" t="str">
        <f>DataBEFOREaging!A39</f>
        <v>K17</v>
      </c>
      <c r="B28" t="str">
        <f>DataBEFOREaging!E39</f>
        <v>Mediservis</v>
      </c>
      <c r="C28" t="str">
        <f>DataBEFOREaging!F39</f>
        <v>PE vložka pro jamku Procotyl (Wright) Rim-lock A-Class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33"/>
  <sheetViews>
    <sheetView workbookViewId="0">
      <selection activeCell="A35" sqref="A35"/>
    </sheetView>
  </sheetViews>
  <sheetFormatPr defaultRowHeight="14.5" x14ac:dyDescent="0.35"/>
  <cols>
    <col min="1" max="1" width="8.7265625" customWidth="1"/>
    <col min="2" max="2" width="16.7265625" customWidth="1"/>
    <col min="3" max="3" width="14" customWidth="1"/>
  </cols>
  <sheetData>
    <row r="1" spans="1:16" x14ac:dyDescent="0.35">
      <c r="A1" s="9" t="s">
        <v>46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x14ac:dyDescent="0.35">
      <c r="A2" s="1" t="s">
        <v>48</v>
      </c>
    </row>
    <row r="3" spans="1:16" x14ac:dyDescent="0.35">
      <c r="A3" t="s">
        <v>47</v>
      </c>
    </row>
    <row r="5" spans="1:16" x14ac:dyDescent="0.35">
      <c r="A5" s="2" t="s">
        <v>35</v>
      </c>
      <c r="B5" s="2"/>
      <c r="C5" s="2"/>
      <c r="D5" s="3" t="s">
        <v>37</v>
      </c>
      <c r="E5" s="3"/>
      <c r="F5" s="3"/>
      <c r="G5" s="3"/>
      <c r="H5" s="3"/>
      <c r="I5" s="7" t="s">
        <v>45</v>
      </c>
      <c r="J5" s="7"/>
      <c r="K5" s="7"/>
      <c r="L5" s="7"/>
      <c r="M5" s="7"/>
      <c r="N5" s="7"/>
      <c r="O5" s="7"/>
      <c r="P5" s="7"/>
    </row>
    <row r="6" spans="1:16" x14ac:dyDescent="0.35">
      <c r="A6" s="2" t="s">
        <v>36</v>
      </c>
      <c r="B6" s="2" t="s">
        <v>11</v>
      </c>
      <c r="C6" s="4" t="s">
        <v>90</v>
      </c>
      <c r="D6" s="3" t="s">
        <v>30</v>
      </c>
      <c r="E6" s="3" t="s">
        <v>31</v>
      </c>
      <c r="F6" s="3" t="s">
        <v>32</v>
      </c>
      <c r="G6" s="3" t="s">
        <v>33</v>
      </c>
      <c r="H6" s="3" t="s">
        <v>34</v>
      </c>
      <c r="I6" s="7" t="s">
        <v>12</v>
      </c>
      <c r="J6" s="7" t="s">
        <v>40</v>
      </c>
      <c r="K6" s="7"/>
      <c r="L6" s="7"/>
      <c r="M6" s="7"/>
      <c r="N6" s="7"/>
      <c r="O6" s="7"/>
      <c r="P6" s="7"/>
    </row>
    <row r="7" spans="1:16" x14ac:dyDescent="0.35">
      <c r="A7" t="s">
        <v>49</v>
      </c>
      <c r="B7" s="5" t="s">
        <v>0</v>
      </c>
      <c r="C7" s="12" t="s">
        <v>70</v>
      </c>
      <c r="D7" t="s">
        <v>38</v>
      </c>
      <c r="E7" s="14" t="s">
        <v>65</v>
      </c>
      <c r="F7" t="s">
        <v>38</v>
      </c>
      <c r="G7" t="s">
        <v>38</v>
      </c>
      <c r="H7" t="s">
        <v>38</v>
      </c>
      <c r="I7" t="s">
        <v>39</v>
      </c>
      <c r="J7" t="s">
        <v>42</v>
      </c>
    </row>
    <row r="8" spans="1:16" x14ac:dyDescent="0.35">
      <c r="A8" t="s">
        <v>50</v>
      </c>
      <c r="B8" s="5" t="s">
        <v>1</v>
      </c>
      <c r="C8" s="12" t="s">
        <v>71</v>
      </c>
      <c r="D8" t="s">
        <v>38</v>
      </c>
      <c r="E8" s="14" t="s">
        <v>65</v>
      </c>
      <c r="F8" t="s">
        <v>38</v>
      </c>
      <c r="G8" t="s">
        <v>38</v>
      </c>
      <c r="H8" t="s">
        <v>38</v>
      </c>
      <c r="I8" t="s">
        <v>41</v>
      </c>
      <c r="J8" t="s">
        <v>42</v>
      </c>
    </row>
    <row r="9" spans="1:16" x14ac:dyDescent="0.35">
      <c r="A9" s="15" t="s">
        <v>51</v>
      </c>
      <c r="B9" s="16" t="s">
        <v>2</v>
      </c>
      <c r="C9" s="17" t="s">
        <v>28</v>
      </c>
      <c r="D9" s="18" t="s">
        <v>65</v>
      </c>
      <c r="E9" s="19" t="s">
        <v>65</v>
      </c>
      <c r="F9" s="15" t="s">
        <v>38</v>
      </c>
      <c r="G9" s="15" t="s">
        <v>38</v>
      </c>
      <c r="H9" s="15" t="s">
        <v>38</v>
      </c>
      <c r="I9" s="15" t="s">
        <v>28</v>
      </c>
      <c r="J9" t="s">
        <v>68</v>
      </c>
    </row>
    <row r="10" spans="1:16" x14ac:dyDescent="0.35">
      <c r="A10" s="20" t="s">
        <v>52</v>
      </c>
      <c r="B10" s="16" t="s">
        <v>3</v>
      </c>
      <c r="C10" s="17" t="s">
        <v>29</v>
      </c>
      <c r="D10" s="20" t="s">
        <v>38</v>
      </c>
      <c r="E10" s="19" t="s">
        <v>65</v>
      </c>
      <c r="F10" s="20" t="s">
        <v>38</v>
      </c>
      <c r="G10" s="20" t="s">
        <v>73</v>
      </c>
      <c r="H10" s="20"/>
      <c r="I10" s="20" t="s">
        <v>29</v>
      </c>
      <c r="J10" s="22" t="s">
        <v>106</v>
      </c>
      <c r="K10" s="22"/>
      <c r="L10" s="22"/>
      <c r="M10" s="23"/>
      <c r="N10" s="24" t="s">
        <v>107</v>
      </c>
      <c r="O10" s="23"/>
      <c r="P10" s="23"/>
    </row>
    <row r="11" spans="1:16" x14ac:dyDescent="0.35">
      <c r="A11" t="s">
        <v>53</v>
      </c>
      <c r="B11" s="5" t="s">
        <v>4</v>
      </c>
      <c r="C11" s="12" t="s">
        <v>72</v>
      </c>
      <c r="D11" t="s">
        <v>38</v>
      </c>
      <c r="E11" s="14" t="s">
        <v>65</v>
      </c>
      <c r="F11" t="s">
        <v>38</v>
      </c>
      <c r="G11" t="s">
        <v>38</v>
      </c>
      <c r="H11" t="s">
        <v>38</v>
      </c>
      <c r="I11" t="s">
        <v>43</v>
      </c>
      <c r="J11" t="s">
        <v>42</v>
      </c>
    </row>
    <row r="12" spans="1:16" x14ac:dyDescent="0.35">
      <c r="A12" t="s">
        <v>54</v>
      </c>
      <c r="B12" s="5" t="s">
        <v>13</v>
      </c>
      <c r="C12" s="8" t="s">
        <v>74</v>
      </c>
      <c r="D12" s="6" t="s">
        <v>69</v>
      </c>
      <c r="E12" s="6" t="s">
        <v>69</v>
      </c>
      <c r="F12" s="6" t="s">
        <v>69</v>
      </c>
      <c r="G12" s="6" t="s">
        <v>69</v>
      </c>
      <c r="H12" s="13" t="s">
        <v>91</v>
      </c>
    </row>
    <row r="13" spans="1:16" x14ac:dyDescent="0.35">
      <c r="A13" t="s">
        <v>55</v>
      </c>
      <c r="B13" s="5" t="s">
        <v>14</v>
      </c>
      <c r="C13" s="8" t="s">
        <v>75</v>
      </c>
      <c r="D13" s="6" t="s">
        <v>69</v>
      </c>
      <c r="E13" s="6" t="s">
        <v>69</v>
      </c>
      <c r="F13" s="6" t="s">
        <v>69</v>
      </c>
      <c r="G13" s="6" t="s">
        <v>69</v>
      </c>
      <c r="H13" s="13" t="s">
        <v>91</v>
      </c>
      <c r="K13" s="11" t="s">
        <v>101</v>
      </c>
      <c r="L13" s="11"/>
      <c r="M13" s="11"/>
      <c r="N13" s="11"/>
      <c r="O13" s="11"/>
      <c r="P13" s="11"/>
    </row>
    <row r="14" spans="1:16" x14ac:dyDescent="0.35">
      <c r="A14" t="s">
        <v>56</v>
      </c>
      <c r="B14" s="5" t="s">
        <v>15</v>
      </c>
      <c r="C14" s="8" t="s">
        <v>76</v>
      </c>
      <c r="D14" s="6" t="s">
        <v>69</v>
      </c>
      <c r="E14" s="6" t="s">
        <v>69</v>
      </c>
      <c r="F14" s="6" t="s">
        <v>69</v>
      </c>
      <c r="G14" s="6" t="s">
        <v>69</v>
      </c>
      <c r="H14" s="13" t="s">
        <v>91</v>
      </c>
      <c r="K14" t="s">
        <v>93</v>
      </c>
    </row>
    <row r="15" spans="1:16" x14ac:dyDescent="0.35">
      <c r="A15" t="s">
        <v>57</v>
      </c>
      <c r="B15" s="5" t="s">
        <v>16</v>
      </c>
      <c r="C15" s="8" t="s">
        <v>77</v>
      </c>
      <c r="D15" s="6" t="s">
        <v>69</v>
      </c>
      <c r="E15" s="6" t="s">
        <v>69</v>
      </c>
      <c r="F15" s="6" t="s">
        <v>69</v>
      </c>
      <c r="G15" s="6" t="s">
        <v>69</v>
      </c>
      <c r="H15" s="13" t="s">
        <v>91</v>
      </c>
      <c r="K15" t="s">
        <v>95</v>
      </c>
    </row>
    <row r="16" spans="1:16" x14ac:dyDescent="0.35">
      <c r="A16" t="s">
        <v>58</v>
      </c>
      <c r="B16" s="5" t="s">
        <v>17</v>
      </c>
      <c r="C16" s="8" t="s">
        <v>78</v>
      </c>
      <c r="D16" s="6" t="s">
        <v>69</v>
      </c>
      <c r="E16" s="6" t="s">
        <v>69</v>
      </c>
      <c r="F16" s="6" t="s">
        <v>69</v>
      </c>
      <c r="G16" s="6" t="s">
        <v>69</v>
      </c>
      <c r="H16" s="13" t="s">
        <v>91</v>
      </c>
      <c r="K16" t="s">
        <v>94</v>
      </c>
    </row>
    <row r="17" spans="1:16" x14ac:dyDescent="0.35">
      <c r="A17" t="s">
        <v>59</v>
      </c>
      <c r="B17" s="5" t="s">
        <v>18</v>
      </c>
      <c r="C17" s="8" t="s">
        <v>79</v>
      </c>
      <c r="D17" s="6" t="s">
        <v>69</v>
      </c>
      <c r="E17" s="6" t="s">
        <v>69</v>
      </c>
      <c r="F17" s="6" t="s">
        <v>69</v>
      </c>
      <c r="G17" s="6" t="s">
        <v>69</v>
      </c>
      <c r="H17" s="13" t="s">
        <v>91</v>
      </c>
      <c r="K17" t="s">
        <v>96</v>
      </c>
    </row>
    <row r="18" spans="1:16" x14ac:dyDescent="0.35">
      <c r="A18" t="s">
        <v>60</v>
      </c>
      <c r="B18" s="5" t="s">
        <v>19</v>
      </c>
      <c r="C18" s="8" t="s">
        <v>80</v>
      </c>
      <c r="D18" s="6" t="s">
        <v>69</v>
      </c>
      <c r="E18" s="6" t="s">
        <v>69</v>
      </c>
      <c r="F18" s="6" t="s">
        <v>69</v>
      </c>
      <c r="G18" s="6" t="s">
        <v>69</v>
      </c>
      <c r="H18" s="13" t="s">
        <v>91</v>
      </c>
      <c r="K18" t="s">
        <v>97</v>
      </c>
    </row>
    <row r="19" spans="1:16" x14ac:dyDescent="0.35">
      <c r="A19" t="s">
        <v>61</v>
      </c>
      <c r="B19" s="5" t="s">
        <v>20</v>
      </c>
      <c r="C19" s="8" t="s">
        <v>81</v>
      </c>
      <c r="D19" s="6" t="s">
        <v>69</v>
      </c>
      <c r="E19" s="6" t="s">
        <v>69</v>
      </c>
      <c r="F19" s="6" t="s">
        <v>69</v>
      </c>
      <c r="G19" s="6" t="s">
        <v>69</v>
      </c>
      <c r="H19" s="13" t="s">
        <v>91</v>
      </c>
      <c r="K19" t="s">
        <v>98</v>
      </c>
    </row>
    <row r="20" spans="1:16" x14ac:dyDescent="0.35">
      <c r="A20" t="s">
        <v>62</v>
      </c>
      <c r="B20" s="5" t="s">
        <v>21</v>
      </c>
      <c r="C20" s="8" t="s">
        <v>82</v>
      </c>
      <c r="D20" s="6" t="s">
        <v>69</v>
      </c>
      <c r="E20" s="6" t="s">
        <v>69</v>
      </c>
      <c r="F20" s="6" t="s">
        <v>69</v>
      </c>
      <c r="G20" s="6" t="s">
        <v>69</v>
      </c>
      <c r="H20" s="13" t="s">
        <v>91</v>
      </c>
      <c r="J20" t="s">
        <v>44</v>
      </c>
      <c r="K20" t="s">
        <v>99</v>
      </c>
    </row>
    <row r="21" spans="1:16" x14ac:dyDescent="0.35">
      <c r="A21" t="s">
        <v>5</v>
      </c>
      <c r="B21" s="5" t="s">
        <v>22</v>
      </c>
      <c r="C21" s="8" t="s">
        <v>83</v>
      </c>
      <c r="D21" s="6" t="s">
        <v>69</v>
      </c>
      <c r="E21" s="6" t="s">
        <v>69</v>
      </c>
      <c r="F21" s="6" t="s">
        <v>69</v>
      </c>
      <c r="G21" s="6" t="s">
        <v>69</v>
      </c>
      <c r="H21" s="13" t="s">
        <v>91</v>
      </c>
      <c r="K21" t="s">
        <v>100</v>
      </c>
    </row>
    <row r="22" spans="1:16" x14ac:dyDescent="0.35">
      <c r="A22" t="s">
        <v>6</v>
      </c>
      <c r="B22" s="5" t="s">
        <v>23</v>
      </c>
      <c r="C22" s="8" t="s">
        <v>84</v>
      </c>
      <c r="D22" s="6" t="s">
        <v>69</v>
      </c>
      <c r="E22" s="6" t="s">
        <v>69</v>
      </c>
      <c r="F22" s="6" t="s">
        <v>69</v>
      </c>
      <c r="G22" s="6" t="s">
        <v>69</v>
      </c>
      <c r="H22" s="13" t="s">
        <v>91</v>
      </c>
    </row>
    <row r="23" spans="1:16" x14ac:dyDescent="0.35">
      <c r="A23" t="s">
        <v>7</v>
      </c>
      <c r="B23" s="5" t="s">
        <v>24</v>
      </c>
      <c r="C23" s="8" t="s">
        <v>85</v>
      </c>
      <c r="D23" s="6" t="s">
        <v>69</v>
      </c>
      <c r="E23" s="6" t="s">
        <v>69</v>
      </c>
      <c r="F23" s="6" t="s">
        <v>69</v>
      </c>
      <c r="G23" s="6" t="s">
        <v>69</v>
      </c>
      <c r="H23" s="13" t="s">
        <v>91</v>
      </c>
    </row>
    <row r="24" spans="1:16" x14ac:dyDescent="0.35">
      <c r="A24" t="s">
        <v>8</v>
      </c>
      <c r="B24" s="5" t="s">
        <v>25</v>
      </c>
      <c r="C24" s="8" t="s">
        <v>86</v>
      </c>
      <c r="D24" s="6" t="s">
        <v>69</v>
      </c>
      <c r="E24" s="6" t="s">
        <v>69</v>
      </c>
      <c r="F24" s="6" t="s">
        <v>69</v>
      </c>
      <c r="G24" s="6" t="s">
        <v>69</v>
      </c>
      <c r="H24" s="13" t="s">
        <v>91</v>
      </c>
    </row>
    <row r="25" spans="1:16" x14ac:dyDescent="0.35">
      <c r="A25" t="s">
        <v>9</v>
      </c>
      <c r="B25" s="5" t="s">
        <v>26</v>
      </c>
      <c r="C25" s="8" t="s">
        <v>87</v>
      </c>
      <c r="D25" s="6" t="s">
        <v>69</v>
      </c>
      <c r="E25" s="6" t="s">
        <v>69</v>
      </c>
      <c r="F25" s="6" t="s">
        <v>69</v>
      </c>
      <c r="G25" s="6" t="s">
        <v>69</v>
      </c>
      <c r="H25" s="13" t="s">
        <v>91</v>
      </c>
    </row>
    <row r="26" spans="1:16" x14ac:dyDescent="0.35">
      <c r="A26" t="s">
        <v>10</v>
      </c>
      <c r="B26" s="5" t="s">
        <v>27</v>
      </c>
      <c r="C26" s="8" t="s">
        <v>88</v>
      </c>
      <c r="D26" s="6" t="s">
        <v>69</v>
      </c>
      <c r="E26" s="6" t="s">
        <v>69</v>
      </c>
      <c r="F26" s="6" t="s">
        <v>69</v>
      </c>
      <c r="G26" s="6" t="s">
        <v>69</v>
      </c>
      <c r="H26" s="13" t="s">
        <v>91</v>
      </c>
    </row>
    <row r="27" spans="1:16" x14ac:dyDescent="0.35">
      <c r="A27" t="s">
        <v>63</v>
      </c>
      <c r="B27" s="5" t="s">
        <v>64</v>
      </c>
      <c r="C27" s="8" t="s">
        <v>89</v>
      </c>
      <c r="D27" s="6" t="s">
        <v>69</v>
      </c>
      <c r="E27" s="6" t="s">
        <v>69</v>
      </c>
      <c r="F27" s="6" t="s">
        <v>69</v>
      </c>
      <c r="G27" s="6" t="s">
        <v>69</v>
      </c>
      <c r="H27" s="13" t="s">
        <v>91</v>
      </c>
    </row>
    <row r="30" spans="1:16" x14ac:dyDescent="0.35">
      <c r="A30" s="11" t="s">
        <v>92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</row>
    <row r="31" spans="1:16" x14ac:dyDescent="0.35">
      <c r="A31" s="1" t="s">
        <v>66</v>
      </c>
      <c r="B31" t="s">
        <v>103</v>
      </c>
    </row>
    <row r="32" spans="1:16" x14ac:dyDescent="0.35">
      <c r="A32" s="14" t="s">
        <v>67</v>
      </c>
      <c r="B32" t="s">
        <v>102</v>
      </c>
    </row>
    <row r="33" spans="1:2" x14ac:dyDescent="0.35">
      <c r="A33" s="15" t="s">
        <v>104</v>
      </c>
      <c r="B33" s="21" t="s">
        <v>105</v>
      </c>
    </row>
  </sheetData>
  <printOptions gridLines="1"/>
  <pageMargins left="0.19685039370078741" right="0.19685039370078741" top="0.19685039370078741" bottom="0.19685039370078741" header="0" footer="0"/>
  <pageSetup paperSize="9" scale="91" orientation="landscape" horizont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DataBEFOREaging</vt:lpstr>
      <vt:lpstr>GraphsForPublication</vt:lpstr>
      <vt:lpstr>TableForPublication</vt:lpstr>
      <vt:lpstr>PlanOfExperiments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2024-03-18T09:30:39Z</dcterms:modified>
</cp:coreProperties>
</file>